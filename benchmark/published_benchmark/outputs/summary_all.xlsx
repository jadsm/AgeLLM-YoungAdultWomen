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delgad1/Desktop/Juan/code/imperial/AgeLLM-YoungAdultWomen/benchmark/published_benchmark/outputs/"/>
    </mc:Choice>
  </mc:AlternateContent>
  <xr:revisionPtr revIDLastSave="0" documentId="13_ncr:9_{D529B731-7BB8-7A4F-BEA8-8EA36FEF3790}" xr6:coauthVersionLast="47" xr6:coauthVersionMax="47" xr10:uidLastSave="{00000000-0000-0000-0000-000000000000}"/>
  <bookViews>
    <workbookView xWindow="2300" yWindow="2400" windowWidth="26840" windowHeight="15520" activeTab="2" xr2:uid="{8422AEDB-5BA6-AC46-8441-813C17A2F02E}"/>
  </bookViews>
  <sheets>
    <sheet name="age_acceleration_summary_cohort" sheetId="1" r:id="rId1"/>
    <sheet name="median" sheetId="2" r:id="rId2"/>
    <sheet name="differences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0" i="3" l="1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B10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B3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B4" i="3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2" i="1"/>
  <c r="C4" i="1"/>
  <c r="C5" i="1" s="1"/>
  <c r="D4" i="1"/>
  <c r="D5" i="1" s="1"/>
  <c r="E4" i="1"/>
  <c r="E5" i="1" s="1"/>
  <c r="F4" i="1"/>
  <c r="F5" i="1" s="1"/>
  <c r="G4" i="1"/>
  <c r="G5" i="1" s="1"/>
  <c r="H4" i="1"/>
  <c r="H5" i="1" s="1"/>
  <c r="I4" i="1"/>
  <c r="I5" i="1" s="1"/>
  <c r="J4" i="1"/>
  <c r="J5" i="1" s="1"/>
  <c r="K4" i="1"/>
  <c r="K5" i="1" s="1"/>
  <c r="L4" i="1"/>
  <c r="L5" i="1" s="1"/>
  <c r="M4" i="1"/>
  <c r="M5" i="1" s="1"/>
  <c r="N4" i="1"/>
  <c r="N5" i="1" s="1"/>
  <c r="O4" i="1"/>
  <c r="O5" i="1" s="1"/>
  <c r="P4" i="1"/>
  <c r="P5" i="1" s="1"/>
  <c r="B4" i="1"/>
  <c r="B5" i="1" s="1"/>
</calcChain>
</file>

<file path=xl/sharedStrings.xml><?xml version="1.0" encoding="utf-8"?>
<sst xmlns="http://purl.oclc.org/ooxml/spreadsheetml/main" count="80" uniqueCount="20">
  <si>
    <t>cohort</t>
  </si>
  <si>
    <t>nature_paper</t>
  </si>
  <si>
    <t>women_post_natal</t>
  </si>
  <si>
    <t>women_pre_natal</t>
  </si>
  <si>
    <t>model</t>
  </si>
  <si>
    <t>Claude Sonnet</t>
  </si>
  <si>
    <t>GPT 20b</t>
  </si>
  <si>
    <t>Gemini Flash</t>
  </si>
  <si>
    <t>Gemini Pro</t>
  </si>
  <si>
    <t>Qwen 3</t>
  </si>
  <si>
    <t>cardiovascular_age</t>
  </si>
  <si>
    <t>hepatic_age</t>
  </si>
  <si>
    <t>metabolic_system_age</t>
  </si>
  <si>
    <t>musculoskeletal_age</t>
  </si>
  <si>
    <t>overall_biological_age</t>
  </si>
  <si>
    <t>pulmonary_age</t>
  </si>
  <si>
    <t>renal_age</t>
  </si>
  <si>
    <t>mean of ages</t>
  </si>
  <si>
    <t>DIFFERENCE</t>
  </si>
  <si>
    <t>Avg mean-meadin skew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</si>
</sst>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2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9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0" xfId="0" applyBorder="1"/>
    <xf numFmtId="169" fontId="0" fillId="0" borderId="11" xfId="0" applyNumberFormat="1" applyBorder="1"/>
    <xf numFmtId="169" fontId="0" fillId="0" borderId="12" xfId="0" applyNumberFormat="1" applyBorder="1"/>
    <xf numFmtId="0" fontId="0" fillId="33" borderId="0" xfId="0" applyFill="1"/>
    <xf numFmtId="169" fontId="0" fillId="33" borderId="0" xfId="0" applyNumberFormat="1" applyFill="1"/>
    <xf numFmtId="169" fontId="0" fillId="33" borderId="12" xfId="0" applyNumberFormat="1" applyFill="1" applyBorder="1"/>
    <xf numFmtId="0" fontId="0" fillId="0" borderId="12" xfId="0" applyBorder="1" applyAlignment="1">
      <alignment horizontal="center"/>
    </xf>
    <xf numFmtId="0" fontId="0" fillId="0" borderId="13" xfId="0" applyBorder="1"/>
    <xf numFmtId="169" fontId="0" fillId="33" borderId="0" xfId="0" applyNumberFormat="1" applyFill="1" applyBorder="1"/>
    <xf numFmtId="169" fontId="0" fillId="0" borderId="0" xfId="0" applyNumberFormat="1" applyBorder="1"/>
    <xf numFmtId="169" fontId="18" fillId="0" borderId="14" xfId="0" applyNumberFormat="1" applyFont="1" applyBorder="1"/>
    <xf numFmtId="169" fontId="18" fillId="0" borderId="15" xfId="0" applyNumberFormat="1" applyFont="1" applyBorder="1"/>
    <xf numFmtId="169" fontId="18" fillId="0" borderId="16" xfId="0" applyNumberFormat="1" applyFont="1" applyBorder="1"/>
    <xf numFmtId="0" fontId="0" fillId="0" borderId="17" xfId="0" applyBorder="1"/>
    <xf numFmtId="2" fontId="0" fillId="0" borderId="17" xfId="0" applyNumberFormat="1" applyBorder="1"/>
    <xf numFmtId="0" fontId="0" fillId="0" borderId="12" xfId="0" applyBorder="1"/>
    <xf numFmtId="2" fontId="0" fillId="0" borderId="0" xfId="0" applyNumberFormat="1" applyBorder="1"/>
    <xf numFmtId="2" fontId="0" fillId="0" borderId="12" xfId="0" applyNumberFormat="1" applyBorder="1"/>
    <xf numFmtId="2" fontId="0" fillId="0" borderId="11" xfId="0" applyNumberFormat="1" applyBorder="1"/>
    <xf numFmtId="0" fontId="0" fillId="0" borderId="18" xfId="0" applyBorder="1" applyAlignment="1">
      <alignment horizontal="center"/>
    </xf>
    <xf numFmtId="0" fontId="0" fillId="0" borderId="18" xfId="0" applyBorder="1"/>
    <xf numFmtId="2" fontId="0" fillId="0" borderId="18" xfId="0" applyNumberFormat="1" applyBorder="1"/>
    <xf numFmtId="2" fontId="0" fillId="0" borderId="19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3F84-9482-7B4D-AC8A-F172EB841099}">
  <dimension ref="A1:P12"/>
  <sheetViews>
    <sheetView workbookViewId="0">
      <selection activeCell="D22" sqref="D22"/>
    </sheetView>
  </sheetViews>
  <sheetFormatPr baseColWidth="10" defaultRowHeight="16" x14ac:dyDescent="0.2"/>
  <cols>
    <col min="1" max="1" width="19.6640625" bestFit="1" customWidth="1"/>
    <col min="2" max="2" width="13" bestFit="1" customWidth="1"/>
    <col min="3" max="3" width="7.6640625" bestFit="1" customWidth="1"/>
    <col min="4" max="4" width="11.6640625" bestFit="1" customWidth="1"/>
    <col min="5" max="5" width="10" bestFit="1" customWidth="1"/>
    <col min="6" max="6" width="7.1640625" bestFit="1" customWidth="1"/>
    <col min="7" max="7" width="13" bestFit="1" customWidth="1"/>
    <col min="8" max="8" width="7.6640625" bestFit="1" customWidth="1"/>
    <col min="9" max="9" width="11.6640625" bestFit="1" customWidth="1"/>
    <col min="10" max="10" width="10" bestFit="1" customWidth="1"/>
    <col min="11" max="11" width="7.1640625" bestFit="1" customWidth="1"/>
    <col min="12" max="12" width="13" bestFit="1" customWidth="1"/>
    <col min="13" max="13" width="7.6640625" bestFit="1" customWidth="1"/>
    <col min="14" max="14" width="11.6640625" bestFit="1" customWidth="1"/>
    <col min="15" max="15" width="10" bestFit="1" customWidth="1"/>
    <col min="16" max="16" width="7.1640625" bestFit="1" customWidth="1"/>
  </cols>
  <sheetData>
    <row r="1" spans="1:16" x14ac:dyDescent="0.2">
      <c r="A1" s="4" t="s">
        <v>0</v>
      </c>
      <c r="B1" s="5" t="s">
        <v>1</v>
      </c>
      <c r="C1" s="5"/>
      <c r="D1" s="5"/>
      <c r="E1" s="5"/>
      <c r="F1" s="5"/>
      <c r="G1" s="5" t="s">
        <v>2</v>
      </c>
      <c r="H1" s="5"/>
      <c r="I1" s="5"/>
      <c r="J1" s="5"/>
      <c r="K1" s="12"/>
      <c r="L1" s="5" t="s">
        <v>3</v>
      </c>
      <c r="M1" s="5"/>
      <c r="N1" s="5"/>
      <c r="O1" s="5"/>
      <c r="P1" s="5"/>
    </row>
    <row r="2" spans="1:16" x14ac:dyDescent="0.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5</v>
      </c>
      <c r="H2" s="6" t="s">
        <v>6</v>
      </c>
      <c r="I2" s="6" t="s">
        <v>7</v>
      </c>
      <c r="J2" s="6" t="s">
        <v>8</v>
      </c>
      <c r="K2" s="13" t="s">
        <v>9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</row>
    <row r="3" spans="1:16" x14ac:dyDescent="0.2">
      <c r="A3" s="9" t="s">
        <v>14</v>
      </c>
      <c r="B3" s="10">
        <v>3.1428571428571401</v>
      </c>
      <c r="C3" s="10">
        <v>7.71428571428571</v>
      </c>
      <c r="D3" s="10">
        <v>1.1428571428571399</v>
      </c>
      <c r="E3" s="10">
        <v>1.8571428571428501</v>
      </c>
      <c r="F3" s="11">
        <v>5.1428571428571397</v>
      </c>
      <c r="G3" s="14">
        <v>2.8842857142857099</v>
      </c>
      <c r="H3" s="14">
        <v>5.4557142857142802</v>
      </c>
      <c r="I3" s="14">
        <v>0.88428571428571401</v>
      </c>
      <c r="J3" s="14">
        <v>1.5985714285714201</v>
      </c>
      <c r="K3" s="11">
        <v>7.17</v>
      </c>
      <c r="L3" s="10">
        <v>5.6114285714285703</v>
      </c>
      <c r="M3" s="10">
        <v>6.1828571428571397</v>
      </c>
      <c r="N3" s="10">
        <v>3.0399999999999898</v>
      </c>
      <c r="O3" s="10">
        <v>2.0399999999999898</v>
      </c>
      <c r="P3" s="10">
        <v>8.8971428571428497</v>
      </c>
    </row>
    <row r="4" spans="1:16" x14ac:dyDescent="0.2">
      <c r="A4" s="9" t="s">
        <v>17</v>
      </c>
      <c r="B4" s="10">
        <f>AVERAGE(B6:B11)</f>
        <v>1.3333333333333333</v>
      </c>
      <c r="C4" s="10">
        <f t="shared" ref="C4:P4" si="0">AVERAGE(C6:C11)</f>
        <v>5.7380952380952328</v>
      </c>
      <c r="D4" s="10">
        <f t="shared" si="0"/>
        <v>0.61904761904761729</v>
      </c>
      <c r="E4" s="10">
        <f t="shared" si="0"/>
        <v>1.0952380952380929</v>
      </c>
      <c r="F4" s="10">
        <f t="shared" si="0"/>
        <v>1.3809523809523796</v>
      </c>
      <c r="G4" s="14">
        <f t="shared" si="0"/>
        <v>1.1699999999999948</v>
      </c>
      <c r="H4" s="14">
        <f t="shared" si="0"/>
        <v>2.1938095238095205</v>
      </c>
      <c r="I4" s="14">
        <f t="shared" si="0"/>
        <v>0.33666666666666584</v>
      </c>
      <c r="J4" s="14">
        <f t="shared" si="0"/>
        <v>0.64619047619047343</v>
      </c>
      <c r="K4" s="11">
        <f t="shared" si="0"/>
        <v>2.5985714285714248</v>
      </c>
      <c r="L4" s="10">
        <f t="shared" si="0"/>
        <v>2.5876190476190462</v>
      </c>
      <c r="M4" s="10">
        <f t="shared" si="0"/>
        <v>4.3733333333333286</v>
      </c>
      <c r="N4" s="10">
        <f t="shared" si="0"/>
        <v>1.9685714285714233</v>
      </c>
      <c r="O4" s="10">
        <f t="shared" si="0"/>
        <v>0.92095238095237908</v>
      </c>
      <c r="P4" s="10">
        <f t="shared" si="0"/>
        <v>3.2304761904761889</v>
      </c>
    </row>
    <row r="5" spans="1:16" x14ac:dyDescent="0.2">
      <c r="A5" s="9" t="s">
        <v>18</v>
      </c>
      <c r="B5" s="10">
        <f>B3-B4</f>
        <v>1.8095238095238069</v>
      </c>
      <c r="C5" s="10">
        <f>C3-C4</f>
        <v>1.9761904761904772</v>
      </c>
      <c r="D5" s="10">
        <f>D3-D4</f>
        <v>0.52380952380952261</v>
      </c>
      <c r="E5" s="10">
        <f>E3-E4</f>
        <v>0.7619047619047572</v>
      </c>
      <c r="F5" s="10">
        <f>F3-F4</f>
        <v>3.7619047619047601</v>
      </c>
      <c r="G5" s="10">
        <f>G3-G4</f>
        <v>1.7142857142857151</v>
      </c>
      <c r="H5" s="10">
        <f>H3-H4</f>
        <v>3.2619047619047596</v>
      </c>
      <c r="I5" s="10">
        <f>I3-I4</f>
        <v>0.54761904761904812</v>
      </c>
      <c r="J5" s="10">
        <f>J3-J4</f>
        <v>0.95238095238094667</v>
      </c>
      <c r="K5" s="10">
        <f>K3-K4</f>
        <v>4.5714285714285747</v>
      </c>
      <c r="L5" s="10">
        <f>L3-L4</f>
        <v>3.0238095238095242</v>
      </c>
      <c r="M5" s="10">
        <f>M3-M4</f>
        <v>1.8095238095238111</v>
      </c>
      <c r="N5" s="10">
        <f>N3-N4</f>
        <v>1.0714285714285665</v>
      </c>
      <c r="O5" s="10">
        <f>O3-O4</f>
        <v>1.1190476190476106</v>
      </c>
      <c r="P5" s="10">
        <f>P3-P4</f>
        <v>5.6666666666666607</v>
      </c>
    </row>
    <row r="6" spans="1:16" x14ac:dyDescent="0.2">
      <c r="A6" t="s">
        <v>10</v>
      </c>
      <c r="B6" s="3">
        <v>6.2857142857142803</v>
      </c>
      <c r="C6" s="3">
        <v>9.2857142857142794</v>
      </c>
      <c r="D6" s="3">
        <v>2.8571428571428501</v>
      </c>
      <c r="E6" s="3">
        <v>3.2857142857142798</v>
      </c>
      <c r="F6" s="7">
        <v>4.71428571428571</v>
      </c>
      <c r="G6" s="15">
        <v>1.8842857142857099</v>
      </c>
      <c r="H6" s="15">
        <v>3.3128571428571401</v>
      </c>
      <c r="I6" s="15">
        <v>-0.54428571428571404</v>
      </c>
      <c r="J6" s="15">
        <v>0.88428571428571401</v>
      </c>
      <c r="K6" s="8">
        <v>2.5985714285714199</v>
      </c>
      <c r="L6" s="3">
        <v>7.1828571428571397</v>
      </c>
      <c r="M6" s="3">
        <v>8.3257142857142803</v>
      </c>
      <c r="N6" s="3">
        <v>4.46857142857142</v>
      </c>
      <c r="O6" s="3">
        <v>2.75428571428571</v>
      </c>
      <c r="P6" s="3">
        <v>7.1828571428571397</v>
      </c>
    </row>
    <row r="7" spans="1:16" x14ac:dyDescent="0.2">
      <c r="A7" t="s">
        <v>11</v>
      </c>
      <c r="B7" s="3">
        <v>-2.71428571428571</v>
      </c>
      <c r="C7" s="3">
        <v>2.4285714285714199</v>
      </c>
      <c r="D7" s="3">
        <v>-2.5714285714285698</v>
      </c>
      <c r="E7" s="3">
        <v>-0.57142857142857095</v>
      </c>
      <c r="F7" s="8">
        <v>-1.8571428571428501</v>
      </c>
      <c r="G7" s="15">
        <v>1.02714285714285</v>
      </c>
      <c r="H7" s="15">
        <v>2.3128571428571401</v>
      </c>
      <c r="I7" s="15">
        <v>2.7142857142856799E-2</v>
      </c>
      <c r="J7" s="15">
        <v>1.02714285714285</v>
      </c>
      <c r="K7" s="8">
        <v>3.02714285714285</v>
      </c>
      <c r="L7" s="3">
        <v>3.1828571428571402</v>
      </c>
      <c r="M7" s="3">
        <v>3.8971428571428501</v>
      </c>
      <c r="N7" s="3">
        <v>1.3257142857142801</v>
      </c>
      <c r="O7" s="3">
        <v>0.46857142857142697</v>
      </c>
      <c r="P7" s="3">
        <v>1.1828571428571399</v>
      </c>
    </row>
    <row r="8" spans="1:16" x14ac:dyDescent="0.2">
      <c r="A8" t="s">
        <v>12</v>
      </c>
      <c r="B8" s="3">
        <v>1.28571428571428</v>
      </c>
      <c r="C8" s="3">
        <v>6.2857142857142803</v>
      </c>
      <c r="D8" s="3">
        <v>0.71428571428571397</v>
      </c>
      <c r="E8" s="3">
        <v>1.28571428571428</v>
      </c>
      <c r="F8" s="8">
        <v>3.71428571428571</v>
      </c>
      <c r="G8" s="15">
        <v>2.4557142857142802</v>
      </c>
      <c r="H8" s="15">
        <v>4.17</v>
      </c>
      <c r="I8" s="15">
        <v>0.88428571428571401</v>
      </c>
      <c r="J8" s="15">
        <v>0.88428571428571401</v>
      </c>
      <c r="K8" s="8">
        <v>7.0271428571428496</v>
      </c>
      <c r="L8" s="3">
        <v>6.3257142857142803</v>
      </c>
      <c r="M8" s="3">
        <v>7.46857142857142</v>
      </c>
      <c r="N8" s="3">
        <v>5.46857142857142</v>
      </c>
      <c r="O8" s="3">
        <v>3.46857142857142</v>
      </c>
      <c r="P8" s="3">
        <v>9.7542857142857091</v>
      </c>
    </row>
    <row r="9" spans="1:16" x14ac:dyDescent="0.2">
      <c r="A9" t="s">
        <v>13</v>
      </c>
      <c r="B9" s="3">
        <v>1.5714285714285701</v>
      </c>
      <c r="C9" s="3">
        <v>7.4285714285714199</v>
      </c>
      <c r="D9" s="3">
        <v>1.1428571428571399</v>
      </c>
      <c r="E9" s="3">
        <v>-0.14285714285714199</v>
      </c>
      <c r="F9" s="8">
        <v>2.2857142857142798</v>
      </c>
      <c r="G9" s="15">
        <v>2.4557142857142802</v>
      </c>
      <c r="H9" s="15">
        <v>2.4557142857142802</v>
      </c>
      <c r="I9" s="15">
        <v>3.5985714285714199</v>
      </c>
      <c r="J9" s="15">
        <v>1.5985714285714201</v>
      </c>
      <c r="K9" s="8">
        <v>4.8842857142857099</v>
      </c>
      <c r="L9" s="3">
        <v>0.46857142857142697</v>
      </c>
      <c r="M9" s="3">
        <v>3.75428571428571</v>
      </c>
      <c r="N9" s="3">
        <v>1.46857142857142</v>
      </c>
      <c r="O9" s="3">
        <v>0.754285714285713</v>
      </c>
      <c r="P9" s="3">
        <v>3.3257142857142798</v>
      </c>
    </row>
    <row r="10" spans="1:16" x14ac:dyDescent="0.2">
      <c r="A10" t="s">
        <v>15</v>
      </c>
      <c r="B10" s="3">
        <v>4</v>
      </c>
      <c r="C10" s="3">
        <v>9.2857142857142794</v>
      </c>
      <c r="D10" s="3">
        <v>2.8571428571428501</v>
      </c>
      <c r="E10" s="3">
        <v>2.71428571428571</v>
      </c>
      <c r="F10" s="8">
        <v>1.5714285714285701</v>
      </c>
      <c r="G10" s="15">
        <v>1.02714285714285</v>
      </c>
      <c r="H10" s="15">
        <v>1.02714285714285</v>
      </c>
      <c r="I10" s="15">
        <v>-0.40142857142857102</v>
      </c>
      <c r="J10" s="15">
        <v>2.7142857142856799E-2</v>
      </c>
      <c r="K10" s="8">
        <v>-0.40142857142857102</v>
      </c>
      <c r="L10" s="3">
        <v>0.182857142857142</v>
      </c>
      <c r="M10" s="3">
        <v>2.6114285714285699</v>
      </c>
      <c r="N10" s="3">
        <v>-0.38857142857142901</v>
      </c>
      <c r="O10" s="3">
        <v>-1.24571428571428</v>
      </c>
      <c r="P10" s="3">
        <v>-0.67428571428571504</v>
      </c>
    </row>
    <row r="11" spans="1:16" x14ac:dyDescent="0.2">
      <c r="A11" t="s">
        <v>16</v>
      </c>
      <c r="B11" s="3">
        <v>-2.4285714285714199</v>
      </c>
      <c r="C11" s="3">
        <v>-0.28571428571428498</v>
      </c>
      <c r="D11" s="3">
        <v>-1.28571428571428</v>
      </c>
      <c r="E11" s="3">
        <v>0</v>
      </c>
      <c r="F11" s="8">
        <v>-2.1428571428571401</v>
      </c>
      <c r="G11" s="15">
        <v>-1.83</v>
      </c>
      <c r="H11" s="15">
        <v>-0.11571428571428601</v>
      </c>
      <c r="I11" s="15">
        <v>-1.54428571428571</v>
      </c>
      <c r="J11" s="15">
        <v>-0.54428571428571404</v>
      </c>
      <c r="K11" s="8">
        <v>-1.54428571428571</v>
      </c>
      <c r="L11" s="3">
        <v>-1.8171428571428501</v>
      </c>
      <c r="M11" s="3">
        <v>0.182857142857142</v>
      </c>
      <c r="N11" s="3">
        <v>-0.53142857142857203</v>
      </c>
      <c r="O11" s="3">
        <v>-0.67428571428571504</v>
      </c>
      <c r="P11" s="3">
        <v>-1.3885714285714199</v>
      </c>
    </row>
    <row r="12" spans="1:16" x14ac:dyDescent="0.2">
      <c r="B12" s="16">
        <f>SUM(B6:B11)</f>
        <v>8</v>
      </c>
      <c r="C12" s="17">
        <f t="shared" ref="C12:P12" si="1">SUM(C6:C11)</f>
        <v>34.428571428571395</v>
      </c>
      <c r="D12" s="17">
        <f t="shared" si="1"/>
        <v>3.7142857142857038</v>
      </c>
      <c r="E12" s="17">
        <f t="shared" si="1"/>
        <v>6.571428571428557</v>
      </c>
      <c r="F12" s="18">
        <f t="shared" si="1"/>
        <v>8.2857142857142776</v>
      </c>
      <c r="G12" s="17">
        <f t="shared" si="1"/>
        <v>7.0199999999999694</v>
      </c>
      <c r="H12" s="17">
        <f t="shared" si="1"/>
        <v>13.162857142857122</v>
      </c>
      <c r="I12" s="17">
        <f t="shared" si="1"/>
        <v>2.0199999999999951</v>
      </c>
      <c r="J12" s="17">
        <f t="shared" si="1"/>
        <v>3.8771428571428408</v>
      </c>
      <c r="K12" s="18">
        <f t="shared" si="1"/>
        <v>15.591428571428548</v>
      </c>
      <c r="L12" s="17">
        <f t="shared" si="1"/>
        <v>15.525714285714278</v>
      </c>
      <c r="M12" s="17">
        <f t="shared" si="1"/>
        <v>26.23999999999997</v>
      </c>
      <c r="N12" s="17">
        <f t="shared" si="1"/>
        <v>11.811428571428539</v>
      </c>
      <c r="O12" s="17">
        <f t="shared" si="1"/>
        <v>5.5257142857142743</v>
      </c>
      <c r="P12" s="18">
        <f t="shared" si="1"/>
        <v>19.382857142857134</v>
      </c>
    </row>
  </sheetData>
  <mergeCells count="3">
    <mergeCell ref="B1:F1"/>
    <mergeCell ref="G1:K1"/>
    <mergeCell ref="L1:P1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4F3E-D3FD-F045-8FCE-AAA75A2827F9}">
  <dimension ref="A1:P9"/>
  <sheetViews>
    <sheetView workbookViewId="0">
      <selection sqref="A1:P9"/>
    </sheetView>
  </sheetViews>
  <sheetFormatPr baseColWidth="10" defaultRowHeight="16" x14ac:dyDescent="0.2"/>
  <cols>
    <col min="1" max="1" width="19.6640625" bestFit="1" customWidth="1"/>
    <col min="2" max="2" width="13" bestFit="1" customWidth="1"/>
    <col min="3" max="3" width="7.6640625" bestFit="1" customWidth="1"/>
    <col min="4" max="4" width="11.6640625" bestFit="1" customWidth="1"/>
    <col min="5" max="5" width="10" bestFit="1" customWidth="1"/>
    <col min="6" max="6" width="7.1640625" bestFit="1" customWidth="1"/>
    <col min="7" max="7" width="13" bestFit="1" customWidth="1"/>
    <col min="8" max="8" width="7.6640625" bestFit="1" customWidth="1"/>
    <col min="9" max="9" width="11.6640625" bestFit="1" customWidth="1"/>
    <col min="10" max="10" width="10" bestFit="1" customWidth="1"/>
    <col min="11" max="11" width="7.1640625" bestFit="1" customWidth="1"/>
    <col min="12" max="12" width="13" bestFit="1" customWidth="1"/>
    <col min="13" max="13" width="7.6640625" bestFit="1" customWidth="1"/>
    <col min="14" max="14" width="11.6640625" bestFit="1" customWidth="1"/>
    <col min="15" max="15" width="10" bestFit="1" customWidth="1"/>
    <col min="16" max="16" width="7.1640625" bestFit="1" customWidth="1"/>
  </cols>
  <sheetData>
    <row r="1" spans="1:16" x14ac:dyDescent="0.2"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/>
      <c r="N1" s="1"/>
      <c r="O1" s="1"/>
      <c r="P1" s="1"/>
    </row>
    <row r="2" spans="1:16" x14ac:dyDescent="0.2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5</v>
      </c>
      <c r="M2" t="s">
        <v>6</v>
      </c>
      <c r="N2" t="s">
        <v>7</v>
      </c>
      <c r="O2" t="s">
        <v>8</v>
      </c>
      <c r="P2" t="s">
        <v>9</v>
      </c>
    </row>
    <row r="3" spans="1:16" x14ac:dyDescent="0.2">
      <c r="A3" t="s">
        <v>14</v>
      </c>
      <c r="B3">
        <v>6</v>
      </c>
      <c r="C3">
        <v>13</v>
      </c>
      <c r="D3">
        <v>3</v>
      </c>
      <c r="E3">
        <v>3</v>
      </c>
      <c r="F3">
        <v>7</v>
      </c>
      <c r="G3">
        <v>4.6499999999999897</v>
      </c>
      <c r="H3">
        <v>6</v>
      </c>
      <c r="I3">
        <v>-2.3199999999999998</v>
      </c>
      <c r="J3">
        <v>1.6499999999999899</v>
      </c>
      <c r="K3">
        <v>4.6499999999999897</v>
      </c>
      <c r="L3">
        <v>5</v>
      </c>
      <c r="M3">
        <v>6.1499999999999897</v>
      </c>
      <c r="N3">
        <v>2.71999999999999</v>
      </c>
      <c r="O3">
        <v>2</v>
      </c>
      <c r="P3">
        <v>8.1499999999999897</v>
      </c>
    </row>
    <row r="4" spans="1:16" x14ac:dyDescent="0.2">
      <c r="A4" t="s">
        <v>10</v>
      </c>
      <c r="B4">
        <v>10</v>
      </c>
      <c r="C4">
        <v>15</v>
      </c>
      <c r="D4">
        <v>5</v>
      </c>
      <c r="E4">
        <v>5</v>
      </c>
      <c r="F4">
        <v>7</v>
      </c>
      <c r="G4">
        <v>2.6499999999999901</v>
      </c>
      <c r="H4">
        <v>2</v>
      </c>
      <c r="I4">
        <v>-3.35</v>
      </c>
      <c r="J4">
        <v>0.64999999999999802</v>
      </c>
      <c r="K4">
        <v>1.6799999999999899</v>
      </c>
      <c r="L4">
        <v>7</v>
      </c>
      <c r="M4">
        <v>9</v>
      </c>
      <c r="N4">
        <v>4</v>
      </c>
      <c r="O4">
        <v>3</v>
      </c>
      <c r="P4">
        <v>7.1499999999999897</v>
      </c>
    </row>
    <row r="5" spans="1:16" x14ac:dyDescent="0.2">
      <c r="A5" t="s">
        <v>11</v>
      </c>
      <c r="B5">
        <v>-5</v>
      </c>
      <c r="C5">
        <v>3</v>
      </c>
      <c r="D5">
        <v>-2</v>
      </c>
      <c r="E5">
        <v>0</v>
      </c>
      <c r="F5">
        <v>-1</v>
      </c>
      <c r="G5">
        <v>-1.53</v>
      </c>
      <c r="H5">
        <v>-0.35000000000000098</v>
      </c>
      <c r="I5">
        <v>-3.32</v>
      </c>
      <c r="J5">
        <v>-1.35</v>
      </c>
      <c r="K5">
        <v>-1.32</v>
      </c>
      <c r="L5">
        <v>3.1499999999999901</v>
      </c>
      <c r="M5">
        <v>4.1499999999999897</v>
      </c>
      <c r="N5">
        <v>0.71999999999999797</v>
      </c>
      <c r="O5">
        <v>0</v>
      </c>
      <c r="P5">
        <v>0.149999999999998</v>
      </c>
    </row>
    <row r="6" spans="1:16" x14ac:dyDescent="0.2">
      <c r="A6" t="s">
        <v>12</v>
      </c>
      <c r="B6">
        <v>3</v>
      </c>
      <c r="C6">
        <v>10</v>
      </c>
      <c r="D6">
        <v>2</v>
      </c>
      <c r="E6">
        <v>1</v>
      </c>
      <c r="F6">
        <v>6</v>
      </c>
      <c r="G6">
        <v>4.6499999999999897</v>
      </c>
      <c r="H6">
        <v>5.6499999999999897</v>
      </c>
      <c r="I6">
        <v>-0.35000000000000098</v>
      </c>
      <c r="J6">
        <v>1.6499999999999899</v>
      </c>
      <c r="K6">
        <v>5.6499999999999897</v>
      </c>
      <c r="L6">
        <v>7.6499999999999897</v>
      </c>
      <c r="M6">
        <v>8.1499999999999897</v>
      </c>
      <c r="N6">
        <v>5.1499999999999897</v>
      </c>
      <c r="O6">
        <v>3</v>
      </c>
      <c r="P6">
        <v>10</v>
      </c>
    </row>
    <row r="7" spans="1:16" x14ac:dyDescent="0.2">
      <c r="A7" t="s">
        <v>13</v>
      </c>
      <c r="B7">
        <v>2</v>
      </c>
      <c r="C7">
        <v>7</v>
      </c>
      <c r="D7">
        <v>-2</v>
      </c>
      <c r="E7">
        <v>0</v>
      </c>
      <c r="F7">
        <v>4</v>
      </c>
      <c r="G7">
        <v>2.6799999999999899</v>
      </c>
      <c r="H7">
        <v>2.6799999999999899</v>
      </c>
      <c r="I7">
        <v>2.6799999999999899</v>
      </c>
      <c r="J7">
        <v>2</v>
      </c>
      <c r="K7">
        <v>5.68</v>
      </c>
      <c r="L7">
        <v>0.28999999999999898</v>
      </c>
      <c r="M7">
        <v>5</v>
      </c>
      <c r="N7">
        <v>1.1499999999999899</v>
      </c>
      <c r="O7">
        <v>0.149999999999998</v>
      </c>
      <c r="P7">
        <v>0.46999999999999797</v>
      </c>
    </row>
    <row r="8" spans="1:16" x14ac:dyDescent="0.2">
      <c r="A8" t="s">
        <v>15</v>
      </c>
      <c r="B8">
        <v>7</v>
      </c>
      <c r="C8">
        <v>10</v>
      </c>
      <c r="D8">
        <v>3</v>
      </c>
      <c r="E8">
        <v>3</v>
      </c>
      <c r="F8">
        <v>4</v>
      </c>
      <c r="G8">
        <v>-2.3199999999999998</v>
      </c>
      <c r="H8">
        <v>1</v>
      </c>
      <c r="I8">
        <v>-1.88</v>
      </c>
      <c r="J8">
        <v>-0.32</v>
      </c>
      <c r="K8">
        <v>-0.35000000000000098</v>
      </c>
      <c r="L8">
        <v>-0.71</v>
      </c>
      <c r="M8">
        <v>1</v>
      </c>
      <c r="N8">
        <v>-1.28</v>
      </c>
      <c r="O8">
        <v>-1.28</v>
      </c>
      <c r="P8">
        <v>-1.85</v>
      </c>
    </row>
    <row r="9" spans="1:16" x14ac:dyDescent="0.2">
      <c r="A9" t="s">
        <v>16</v>
      </c>
      <c r="B9">
        <v>-1</v>
      </c>
      <c r="C9">
        <v>1</v>
      </c>
      <c r="D9">
        <v>-1</v>
      </c>
      <c r="E9">
        <v>0</v>
      </c>
      <c r="F9">
        <v>-2</v>
      </c>
      <c r="G9">
        <v>-3.88</v>
      </c>
      <c r="H9">
        <v>-0.53000000000000103</v>
      </c>
      <c r="I9">
        <v>-3.32</v>
      </c>
      <c r="J9">
        <v>-1.35</v>
      </c>
      <c r="K9">
        <v>-2</v>
      </c>
      <c r="L9">
        <v>-1.85</v>
      </c>
      <c r="M9">
        <v>0.149999999999998</v>
      </c>
      <c r="N9">
        <v>-0.53000000000000103</v>
      </c>
      <c r="O9">
        <v>-0.35000000000000098</v>
      </c>
      <c r="P9">
        <v>-1.28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F6BA-3FCA-3B45-A3D9-EFD160EE014D}">
  <dimension ref="A1:P10"/>
  <sheetViews>
    <sheetView tabSelected="1" workbookViewId="0">
      <selection activeCell="F10" sqref="A1:P10"/>
    </sheetView>
  </sheetViews>
  <sheetFormatPr baseColWidth="10" defaultRowHeight="16" x14ac:dyDescent="0.2"/>
  <cols>
    <col min="1" max="1" width="21.1640625" bestFit="1" customWidth="1"/>
    <col min="2" max="2" width="13" bestFit="1" customWidth="1"/>
    <col min="3" max="3" width="7.6640625" bestFit="1" customWidth="1"/>
    <col min="4" max="4" width="11.6640625" bestFit="1" customWidth="1"/>
    <col min="5" max="5" width="10" bestFit="1" customWidth="1"/>
    <col min="6" max="6" width="7.1640625" bestFit="1" customWidth="1"/>
    <col min="7" max="7" width="13" bestFit="1" customWidth="1"/>
    <col min="8" max="8" width="7.6640625" bestFit="1" customWidth="1"/>
    <col min="9" max="9" width="11.6640625" bestFit="1" customWidth="1"/>
    <col min="10" max="10" width="10" bestFit="1" customWidth="1"/>
    <col min="11" max="11" width="7.1640625" bestFit="1" customWidth="1"/>
    <col min="12" max="12" width="13" bestFit="1" customWidth="1"/>
    <col min="13" max="13" width="7.6640625" bestFit="1" customWidth="1"/>
    <col min="14" max="14" width="11.6640625" bestFit="1" customWidth="1"/>
    <col min="15" max="15" width="10" bestFit="1" customWidth="1"/>
    <col min="16" max="16" width="7.1640625" bestFit="1" customWidth="1"/>
  </cols>
  <sheetData>
    <row r="1" spans="1:16" x14ac:dyDescent="0.2">
      <c r="B1" s="5" t="s">
        <v>1</v>
      </c>
      <c r="C1" s="5"/>
      <c r="D1" s="5"/>
      <c r="E1" s="5"/>
      <c r="F1" s="12"/>
      <c r="G1" s="25" t="s">
        <v>2</v>
      </c>
      <c r="H1" s="5"/>
      <c r="I1" s="5"/>
      <c r="J1" s="5"/>
      <c r="K1" s="12"/>
      <c r="L1" s="1" t="s">
        <v>3</v>
      </c>
      <c r="M1" s="1"/>
      <c r="N1" s="1"/>
      <c r="O1" s="1"/>
      <c r="P1" s="1"/>
    </row>
    <row r="2" spans="1:16" x14ac:dyDescent="0.2">
      <c r="B2" s="4" t="s">
        <v>5</v>
      </c>
      <c r="C2" s="4" t="s">
        <v>6</v>
      </c>
      <c r="D2" s="4" t="s">
        <v>7</v>
      </c>
      <c r="E2" s="4" t="s">
        <v>8</v>
      </c>
      <c r="F2" s="21" t="s">
        <v>9</v>
      </c>
      <c r="G2" s="26" t="s">
        <v>5</v>
      </c>
      <c r="H2" s="4" t="s">
        <v>6</v>
      </c>
      <c r="I2" s="4" t="s">
        <v>7</v>
      </c>
      <c r="J2" s="4" t="s">
        <v>8</v>
      </c>
      <c r="K2" s="21" t="s">
        <v>9</v>
      </c>
      <c r="L2" t="s">
        <v>5</v>
      </c>
      <c r="M2" t="s">
        <v>6</v>
      </c>
      <c r="N2" t="s">
        <v>7</v>
      </c>
      <c r="O2" t="s">
        <v>8</v>
      </c>
      <c r="P2" t="s">
        <v>9</v>
      </c>
    </row>
    <row r="3" spans="1:16" x14ac:dyDescent="0.2">
      <c r="A3" t="s">
        <v>14</v>
      </c>
      <c r="B3" s="22">
        <f>age_acceleration_summary_cohort!B3-median!B3</f>
        <v>-2.8571428571428599</v>
      </c>
      <c r="C3" s="22">
        <f>age_acceleration_summary_cohort!C3-median!C3</f>
        <v>-5.28571428571429</v>
      </c>
      <c r="D3" s="22">
        <f>age_acceleration_summary_cohort!D3-median!D3</f>
        <v>-1.8571428571428601</v>
      </c>
      <c r="E3" s="22">
        <f>age_acceleration_summary_cohort!E3-median!E3</f>
        <v>-1.1428571428571499</v>
      </c>
      <c r="F3" s="23">
        <f>age_acceleration_summary_cohort!F3-median!F3</f>
        <v>-1.8571428571428603</v>
      </c>
      <c r="G3" s="27">
        <f>age_acceleration_summary_cohort!G3-median!G3</f>
        <v>-1.7657142857142798</v>
      </c>
      <c r="H3" s="22">
        <f>age_acceleration_summary_cohort!H3-median!H3</f>
        <v>-0.54428571428571981</v>
      </c>
      <c r="I3" s="22">
        <f>age_acceleration_summary_cohort!I3-median!I3</f>
        <v>3.2042857142857137</v>
      </c>
      <c r="J3" s="22">
        <f>age_acceleration_summary_cohort!J3-median!J3</f>
        <v>-5.1428571428569825E-2</v>
      </c>
      <c r="K3" s="23">
        <f>age_acceleration_summary_cohort!K3-median!K3</f>
        <v>2.5200000000000102</v>
      </c>
      <c r="L3" s="2">
        <f>age_acceleration_summary_cohort!L3-median!L3</f>
        <v>0.61142857142857032</v>
      </c>
      <c r="M3" s="2">
        <f>age_acceleration_summary_cohort!M3-median!M3</f>
        <v>3.2857142857150023E-2</v>
      </c>
      <c r="N3" s="2">
        <f>age_acceleration_summary_cohort!N3-median!N3</f>
        <v>0.31999999999999984</v>
      </c>
      <c r="O3" s="2">
        <f>age_acceleration_summary_cohort!O3-median!O3</f>
        <v>3.9999999999989821E-2</v>
      </c>
      <c r="P3" s="2">
        <f>age_acceleration_summary_cohort!P3-median!P3</f>
        <v>0.74714285714286</v>
      </c>
    </row>
    <row r="4" spans="1:16" x14ac:dyDescent="0.2">
      <c r="A4" t="s">
        <v>10</v>
      </c>
      <c r="B4" s="22">
        <f>age_acceleration_summary_cohort!B6-median!B4</f>
        <v>-3.7142857142857197</v>
      </c>
      <c r="C4" s="22">
        <f>age_acceleration_summary_cohort!C6-median!C4</f>
        <v>-5.7142857142857206</v>
      </c>
      <c r="D4" s="22">
        <f>age_acceleration_summary_cohort!D6-median!D4</f>
        <v>-2.1428571428571499</v>
      </c>
      <c r="E4" s="22">
        <f>age_acceleration_summary_cohort!E6-median!E4</f>
        <v>-1.7142857142857202</v>
      </c>
      <c r="F4" s="23">
        <f>age_acceleration_summary_cohort!F6-median!F4</f>
        <v>-2.28571428571429</v>
      </c>
      <c r="G4" s="27">
        <f>age_acceleration_summary_cohort!G6-median!G4</f>
        <v>-0.76571428571428024</v>
      </c>
      <c r="H4" s="22">
        <f>age_acceleration_summary_cohort!H6-median!H4</f>
        <v>1.3128571428571401</v>
      </c>
      <c r="I4" s="22">
        <f>age_acceleration_summary_cohort!I6-median!I4</f>
        <v>2.805714285714286</v>
      </c>
      <c r="J4" s="22">
        <f>age_acceleration_summary_cohort!J6-median!J4</f>
        <v>0.23428571428571598</v>
      </c>
      <c r="K4" s="23">
        <f>age_acceleration_summary_cohort!K6-median!K4</f>
        <v>0.91857142857142993</v>
      </c>
      <c r="L4" s="2">
        <f>age_acceleration_summary_cohort!L6-median!L4</f>
        <v>0.18285714285713972</v>
      </c>
      <c r="M4" s="2">
        <f>age_acceleration_summary_cohort!M6-median!M4</f>
        <v>-0.67428571428571971</v>
      </c>
      <c r="N4" s="2">
        <f>age_acceleration_summary_cohort!N6-median!N4</f>
        <v>0.46857142857141998</v>
      </c>
      <c r="O4" s="2">
        <f>age_acceleration_summary_cohort!O6-median!O4</f>
        <v>-0.24571428571428999</v>
      </c>
      <c r="P4" s="2">
        <f>age_acceleration_summary_cohort!P6-median!P4</f>
        <v>3.2857142857150023E-2</v>
      </c>
    </row>
    <row r="5" spans="1:16" x14ac:dyDescent="0.2">
      <c r="A5" t="s">
        <v>11</v>
      </c>
      <c r="B5" s="22">
        <f>age_acceleration_summary_cohort!B7-median!B5</f>
        <v>2.28571428571429</v>
      </c>
      <c r="C5" s="22">
        <f>age_acceleration_summary_cohort!C7-median!C5</f>
        <v>-0.57142857142858006</v>
      </c>
      <c r="D5" s="22">
        <f>age_acceleration_summary_cohort!D7-median!D5</f>
        <v>-0.57142857142856984</v>
      </c>
      <c r="E5" s="22">
        <f>age_acceleration_summary_cohort!E7-median!E5</f>
        <v>-0.57142857142857095</v>
      </c>
      <c r="F5" s="23">
        <f>age_acceleration_summary_cohort!F7-median!F5</f>
        <v>-0.8571428571428501</v>
      </c>
      <c r="G5" s="27">
        <f>age_acceleration_summary_cohort!G7-median!G5</f>
        <v>2.5571428571428498</v>
      </c>
      <c r="H5" s="22">
        <f>age_acceleration_summary_cohort!H7-median!H5</f>
        <v>2.662857142857141</v>
      </c>
      <c r="I5" s="22">
        <f>age_acceleration_summary_cohort!I7-median!I5</f>
        <v>3.3471428571428565</v>
      </c>
      <c r="J5" s="22">
        <f>age_acceleration_summary_cohort!J7-median!J5</f>
        <v>2.3771428571428501</v>
      </c>
      <c r="K5" s="23">
        <f>age_acceleration_summary_cohort!K7-median!K5</f>
        <v>4.3471428571428499</v>
      </c>
      <c r="L5" s="2">
        <f>age_acceleration_summary_cohort!L7-median!L5</f>
        <v>3.2857142857150023E-2</v>
      </c>
      <c r="M5" s="2">
        <f>age_acceleration_summary_cohort!M7-median!M5</f>
        <v>-0.25285714285713956</v>
      </c>
      <c r="N5" s="2">
        <f>age_acceleration_summary_cohort!N7-median!N5</f>
        <v>0.6057142857142821</v>
      </c>
      <c r="O5" s="2">
        <f>age_acceleration_summary_cohort!O7-median!O5</f>
        <v>0.46857142857142697</v>
      </c>
      <c r="P5" s="2">
        <f>age_acceleration_summary_cohort!P7-median!P5</f>
        <v>1.032857142857142</v>
      </c>
    </row>
    <row r="6" spans="1:16" x14ac:dyDescent="0.2">
      <c r="A6" t="s">
        <v>12</v>
      </c>
      <c r="B6" s="22">
        <f>age_acceleration_summary_cohort!B8-median!B6</f>
        <v>-1.71428571428572</v>
      </c>
      <c r="C6" s="22">
        <f>age_acceleration_summary_cohort!C8-median!C6</f>
        <v>-3.7142857142857197</v>
      </c>
      <c r="D6" s="22">
        <f>age_acceleration_summary_cohort!D8-median!D6</f>
        <v>-1.285714285714286</v>
      </c>
      <c r="E6" s="22">
        <f>age_acceleration_summary_cohort!E8-median!E6</f>
        <v>0.28571428571428004</v>
      </c>
      <c r="F6" s="23">
        <f>age_acceleration_summary_cohort!F8-median!F6</f>
        <v>-2.28571428571429</v>
      </c>
      <c r="G6" s="27">
        <f>age_acceleration_summary_cohort!G8-median!G6</f>
        <v>-2.1942857142857095</v>
      </c>
      <c r="H6" s="22">
        <f>age_acceleration_summary_cohort!H8-median!H6</f>
        <v>-1.4799999999999898</v>
      </c>
      <c r="I6" s="22">
        <f>age_acceleration_summary_cohort!I8-median!I6</f>
        <v>1.2342857142857149</v>
      </c>
      <c r="J6" s="22">
        <f>age_acceleration_summary_cohort!J8-median!J6</f>
        <v>-0.76571428571427591</v>
      </c>
      <c r="K6" s="23">
        <f>age_acceleration_summary_cohort!K8-median!K6</f>
        <v>1.3771428571428599</v>
      </c>
      <c r="L6" s="2">
        <f>age_acceleration_summary_cohort!L8-median!L6</f>
        <v>-1.3242857142857094</v>
      </c>
      <c r="M6" s="2">
        <f>age_acceleration_summary_cohort!M8-median!M6</f>
        <v>-0.68142857142856972</v>
      </c>
      <c r="N6" s="2">
        <f>age_acceleration_summary_cohort!N8-median!N6</f>
        <v>0.31857142857143028</v>
      </c>
      <c r="O6" s="2">
        <f>age_acceleration_summary_cohort!O8-median!O6</f>
        <v>0.46857142857141998</v>
      </c>
      <c r="P6" s="2">
        <f>age_acceleration_summary_cohort!P8-median!P6</f>
        <v>-0.24571428571429088</v>
      </c>
    </row>
    <row r="7" spans="1:16" x14ac:dyDescent="0.2">
      <c r="A7" t="s">
        <v>13</v>
      </c>
      <c r="B7" s="22">
        <f>age_acceleration_summary_cohort!B9-median!B7</f>
        <v>-0.42857142857142994</v>
      </c>
      <c r="C7" s="22">
        <f>age_acceleration_summary_cohort!C9-median!C7</f>
        <v>0.42857142857141994</v>
      </c>
      <c r="D7" s="22">
        <f>age_acceleration_summary_cohort!D9-median!D7</f>
        <v>3.1428571428571397</v>
      </c>
      <c r="E7" s="22">
        <f>age_acceleration_summary_cohort!E9-median!E7</f>
        <v>-0.14285714285714199</v>
      </c>
      <c r="F7" s="23">
        <f>age_acceleration_summary_cohort!F9-median!F7</f>
        <v>-1.7142857142857202</v>
      </c>
      <c r="G7" s="27">
        <f>age_acceleration_summary_cohort!G9-median!G7</f>
        <v>-0.22428571428570976</v>
      </c>
      <c r="H7" s="22">
        <f>age_acceleration_summary_cohort!H9-median!H7</f>
        <v>-0.22428571428570976</v>
      </c>
      <c r="I7" s="22">
        <f>age_acceleration_summary_cohort!I9-median!I7</f>
        <v>0.91857142857142993</v>
      </c>
      <c r="J7" s="22">
        <f>age_acceleration_summary_cohort!J9-median!J7</f>
        <v>-0.40142857142857991</v>
      </c>
      <c r="K7" s="23">
        <f>age_acceleration_summary_cohort!K9-median!K7</f>
        <v>-0.79571428571428982</v>
      </c>
      <c r="L7" s="2">
        <f>age_acceleration_summary_cohort!L9-median!L7</f>
        <v>0.17857142857142799</v>
      </c>
      <c r="M7" s="2">
        <f>age_acceleration_summary_cohort!M9-median!M7</f>
        <v>-1.24571428571429</v>
      </c>
      <c r="N7" s="2">
        <f>age_acceleration_summary_cohort!N9-median!N7</f>
        <v>0.31857142857143006</v>
      </c>
      <c r="O7" s="2">
        <f>age_acceleration_summary_cohort!O9-median!O7</f>
        <v>0.60428571428571498</v>
      </c>
      <c r="P7" s="2">
        <f>age_acceleration_summary_cohort!P9-median!P7</f>
        <v>2.8557142857142819</v>
      </c>
    </row>
    <row r="8" spans="1:16" x14ac:dyDescent="0.2">
      <c r="A8" t="s">
        <v>15</v>
      </c>
      <c r="B8" s="22">
        <f>age_acceleration_summary_cohort!B10-median!B8</f>
        <v>-3</v>
      </c>
      <c r="C8" s="22">
        <f>age_acceleration_summary_cohort!C10-median!C8</f>
        <v>-0.71428571428572063</v>
      </c>
      <c r="D8" s="22">
        <f>age_acceleration_summary_cohort!D10-median!D8</f>
        <v>-0.1428571428571499</v>
      </c>
      <c r="E8" s="22">
        <f>age_acceleration_summary_cohort!E10-median!E8</f>
        <v>-0.28571428571429003</v>
      </c>
      <c r="F8" s="23">
        <f>age_acceleration_summary_cohort!F10-median!F8</f>
        <v>-2.4285714285714297</v>
      </c>
      <c r="G8" s="27">
        <f>age_acceleration_summary_cohort!G10-median!G8</f>
        <v>3.3471428571428499</v>
      </c>
      <c r="H8" s="22">
        <f>age_acceleration_summary_cohort!H10-median!H8</f>
        <v>2.714285714285003E-2</v>
      </c>
      <c r="I8" s="22">
        <f>age_acceleration_summary_cohort!I10-median!I8</f>
        <v>1.4785714285714289</v>
      </c>
      <c r="J8" s="22">
        <f>age_acceleration_summary_cohort!J10-median!J8</f>
        <v>0.34714285714285681</v>
      </c>
      <c r="K8" s="23">
        <f>age_acceleration_summary_cohort!K10-median!K8</f>
        <v>-5.1428571428570047E-2</v>
      </c>
      <c r="L8" s="2">
        <f>age_acceleration_summary_cohort!L10-median!L8</f>
        <v>0.89285714285714191</v>
      </c>
      <c r="M8" s="2">
        <f>age_acceleration_summary_cohort!M10-median!M8</f>
        <v>1.6114285714285699</v>
      </c>
      <c r="N8" s="2">
        <f>age_acceleration_summary_cohort!N10-median!N8</f>
        <v>0.89142857142857101</v>
      </c>
      <c r="O8" s="2">
        <f>age_acceleration_summary_cohort!O10-median!O8</f>
        <v>3.4285714285720026E-2</v>
      </c>
      <c r="P8" s="2">
        <f>age_acceleration_summary_cohort!P10-median!P8</f>
        <v>1.175714285714285</v>
      </c>
    </row>
    <row r="9" spans="1:16" x14ac:dyDescent="0.2">
      <c r="A9" t="s">
        <v>16</v>
      </c>
      <c r="B9" s="22">
        <f>age_acceleration_summary_cohort!B11-median!B9</f>
        <v>-1.4285714285714199</v>
      </c>
      <c r="C9" s="22">
        <f>age_acceleration_summary_cohort!C11-median!C9</f>
        <v>-1.2857142857142849</v>
      </c>
      <c r="D9" s="22">
        <f>age_acceleration_summary_cohort!D11-median!D9</f>
        <v>-0.28571428571428004</v>
      </c>
      <c r="E9" s="22">
        <f>age_acceleration_summary_cohort!E11-median!E9</f>
        <v>0</v>
      </c>
      <c r="F9" s="23">
        <f>age_acceleration_summary_cohort!F11-median!F9</f>
        <v>-0.14285714285714013</v>
      </c>
      <c r="G9" s="27">
        <f>age_acceleration_summary_cohort!G11-median!G9</f>
        <v>2.0499999999999998</v>
      </c>
      <c r="H9" s="22">
        <f>age_acceleration_summary_cohort!H11-median!H9</f>
        <v>0.41428571428571503</v>
      </c>
      <c r="I9" s="22">
        <f>age_acceleration_summary_cohort!I11-median!I9</f>
        <v>1.7757142857142898</v>
      </c>
      <c r="J9" s="22">
        <f>age_acceleration_summary_cohort!J11-median!J9</f>
        <v>0.80571428571428605</v>
      </c>
      <c r="K9" s="23">
        <f>age_acceleration_summary_cohort!K11-median!K9</f>
        <v>0.45571428571428996</v>
      </c>
      <c r="L9" s="2">
        <f>age_acceleration_summary_cohort!L11-median!L9</f>
        <v>3.2857142857150023E-2</v>
      </c>
      <c r="M9" s="2">
        <f>age_acceleration_summary_cohort!M11-median!M9</f>
        <v>3.2857142857144001E-2</v>
      </c>
      <c r="N9" s="2">
        <f>age_acceleration_summary_cohort!N11-median!N9</f>
        <v>-1.4285714285710016E-3</v>
      </c>
      <c r="O9" s="2">
        <f>age_acceleration_summary_cohort!O11-median!O9</f>
        <v>-0.32428571428571407</v>
      </c>
      <c r="P9" s="2">
        <f>age_acceleration_summary_cohort!P11-median!P9</f>
        <v>-0.10857142857141988</v>
      </c>
    </row>
    <row r="10" spans="1:16" x14ac:dyDescent="0.2">
      <c r="A10" s="19" t="s">
        <v>19</v>
      </c>
      <c r="B10" s="20">
        <f>AVERAGE(B3:B9)</f>
        <v>-1.5510204081632657</v>
      </c>
      <c r="C10" s="20">
        <f t="shared" ref="C10:P10" si="0">AVERAGE(C3:C9)</f>
        <v>-2.4081632653061282</v>
      </c>
      <c r="D10" s="20">
        <f t="shared" si="0"/>
        <v>-0.44897959183673664</v>
      </c>
      <c r="E10" s="20">
        <f t="shared" si="0"/>
        <v>-0.51020408163265618</v>
      </c>
      <c r="F10" s="24">
        <f t="shared" si="0"/>
        <v>-1.6530612244897973</v>
      </c>
      <c r="G10" s="28">
        <f t="shared" si="0"/>
        <v>0.42918367346938863</v>
      </c>
      <c r="H10" s="20">
        <f t="shared" si="0"/>
        <v>0.30979591836734671</v>
      </c>
      <c r="I10" s="20">
        <f t="shared" si="0"/>
        <v>2.109183673469389</v>
      </c>
      <c r="J10" s="20">
        <f t="shared" si="0"/>
        <v>0.36367346938775474</v>
      </c>
      <c r="K10" s="24">
        <f t="shared" si="0"/>
        <v>1.253061224489797</v>
      </c>
      <c r="L10" s="20">
        <f t="shared" si="0"/>
        <v>8.6734693877552935E-2</v>
      </c>
      <c r="M10" s="20">
        <f t="shared" si="0"/>
        <v>-0.16816326530612216</v>
      </c>
      <c r="N10" s="20">
        <f t="shared" si="0"/>
        <v>0.41734693877550894</v>
      </c>
      <c r="O10" s="20">
        <f t="shared" si="0"/>
        <v>0.14938775510203825</v>
      </c>
      <c r="P10" s="20">
        <f t="shared" si="0"/>
        <v>0.78428571428571558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age_acceleration_summary_cohort</vt:lpstr>
      <vt:lpstr>median</vt:lpstr>
      <vt:lpstr>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Delgado</cp:lastModifiedBy>
  <dcterms:created xsi:type="dcterms:W3CDTF">2026-04-24T18:16:47Z</dcterms:created>
  <dcterms:modified xsi:type="dcterms:W3CDTF">2026-04-27T12:11:35Z</dcterms:modified>
</cp:coreProperties>
</file>