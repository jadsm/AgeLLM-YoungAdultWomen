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412"/>
  <workbookPr dateCompatibility="0" defaultThemeVersion="202300"/>
  <mc:AlternateContent xmlns:mc="http://schemas.openxmlformats.org/markup-compatibility/2006">
    <mc:Choice Requires="x15">
      <x15ac:absPath xmlns:x15ac="http://schemas.microsoft.com/office/spreadsheetml/2010/11/ac" url="/Users/jdelgad1/Desktop/Juan/code/imperial/AgeLLM-YoungAdultWomen/benchmark/published_benchmark/outputs/"/>
    </mc:Choice>
  </mc:AlternateContent>
  <xr:revisionPtr revIDLastSave="0" documentId="8_{092EA18C-1757-234B-9B98-ADCC2447DAEB}" xr6:coauthVersionLast="47" xr6:coauthVersionMax="47" xr10:uidLastSave="{00000000-0000-0000-0000-000000000000}"/>
  <bookViews>
    <workbookView xWindow="1900" yWindow="1900" windowWidth="27240" windowHeight="16020" activeTab="1" xr2:uid="{C1015043-6680-EC47-9BD8-6A9D0A6E698C}"/>
  </bookViews>
  <sheets>
    <sheet name="Wordiness" sheetId="3" r:id="rId1"/>
    <sheet name="Sheet3" sheetId="4" r:id="rId2"/>
    <sheet name="reasoning_and_indicators" sheetId="1" r:id="rId3"/>
  </sheets>
  <calcPr calcId="191029"/>
  <pivotCaches>
    <pivotCache cacheId="13" r:id="rId4"/>
    <pivotCache cacheId="18" r:id="rId5"/>
  </pivotCaches>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L5" i="4" l="1"/>
  <c r="M5" i="4" s="1"/>
  <c r="K6" i="4"/>
  <c r="K7" i="4"/>
  <c r="K8" i="4"/>
  <c r="K9" i="4"/>
  <c r="K5" i="4"/>
  <c r="L6" i="4"/>
  <c r="M6" i="4" s="1"/>
  <c r="L7" i="4"/>
  <c r="M7" i="4" s="1"/>
  <c r="L8" i="4"/>
  <c r="M8" i="4" s="1"/>
  <c r="L9" i="4"/>
  <c r="M9" i="4" s="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2" i="1"/>
</calcChain>
</file>

<file path=xl/sharedStrings.xml><?xml version="1.0" encoding="utf-8"?>
<sst xmlns="http://purl.oclc.org/ooxml/spreadsheetml/main" count="141" uniqueCount="89">
  <si>
    <t>patient</t>
  </si>
  <si>
    <t>model</t>
  </si>
  <si>
    <t>inference_process</t>
  </si>
  <si>
    <t>key_indicators</t>
  </si>
  <si>
    <t>GPT 20b</t>
  </si>
  <si>
    <t>The subject is a 56‚Äëyear‚Äëold obese female with a BMI of 31.4 and central obesity (waist 105‚ÄØcm). She has a normal blood pressure but a slightly elevated pulse and a low hand‚Äëgrip strength, indicating reduced functional reserve. Lipid profile shows markedly high total cholesterol, LDL, triglycerides and low HDL, together with a normal glucose and HbA1c, suggesting a dyslipidemic metabolic state. ALT is mildly elevated, GGT is normal, and the patient has a history of GERD and diaphragmatic hernia, raising the possibility of fatty liver. Spirometry shows a normal FEV1/FVC ratio but a reduced peak expiratory flow and the presence of snoring, hinting at mild obstructive sleep apnea and reduced pulmonary reserve. CRP is elevated, vitamin‚ÄØD is deficient, and physical activity is minimal, all of which accelerate biological aging. Combining these organ‚Äëspecific indicators, the overall biological age is estimated to be higher than chronological age, with cardiovascular, hepatic, metabolic and musculoskeletal systems showing the greatest acceleration, while renal and pulmonary ages are moderately elevated.</t>
  </si>
  <si>
    <t>overall biological age: BMI, waist, lipids, CRP, vitamin‚ÄØD, physical activity#cardiovascular age: BMI, lipids, BP, physical activity, snoring#hepatic age: ALT, GGT, obesity#pulmonary age: FEV1/FVC, peak flow, snoring#renal age: creatinine, cystatin‚ÄØC, obesity#metabolic system age: lipids, CRP, vitamin‚ÄØD, obesity#musculoskeletal age: grip strength, physical activity, obesity</t>
  </si>
  <si>
    <t>The 69‚Äëyear‚Äëold male has a history of heavy smoking, daily alcohol use, hypertension, dyslipidemia, prior MI and atrial fibrillation, and chronic obstructive pulmonary disease. His blood pressure is elevated, lipid profile shows moderate LDL, and CRP is mildly raised, indicating systemic inflammation. Spirometry shows a FEV1/FVC ratio of 0.65 and FEV1 of 1.99‚ÄØL, consistent with moderate COPD. Liver enzymes reveal a markedly elevated GGT and ALP, while ALT/AST remain normal, suggesting mild hepatic stress. Renal function tests (creatinine, cystatin‚ÄëC, microalbumin) are within normal limits. Metabolic markers (HbA1c, IGF‚Äë1, testosterone) are near normal but slightly low, and grip strength is moderate. Combining these indicators, the cardiovascular and pulmonary systems appear most aged, followed by metabolic and hepatic systems, while renal and musculoskeletal systems are relatively preserved.</t>
  </si>
  <si>
    <t>overall biological age: BMI, smoking, alcohol, hypertension, MI, COPD, CRP, IGF‚Äë1, testosterone#cardiovascular age: hypertension, MI, atrial fibrillation, dyslipidemia, smoking#hepatic age: GGT, ALP, ALT, AST#pulmonary age: FEV1/FVC ratio, FEV1, COPD history#renal age: creatinine, cystatin‚ÄëC, microalbumin#metabolic system age: HbA1c, lipids, CRP, IGF‚Äë1, testosterone#musculoskeletal age: hand grip strength, BMI</t>
  </si>
  <si>
    <t>Smoking 40 pack‚Äëyears, overweight, high waist‚Äëhip ratio, low vegetable intake, high salt, moderate activity, insomnia, elevated CRP, LDL 3.78, HDL 1.0, FEV1/FVC 0.78, grip 27/25 kg, mild hyperglycaemia, low vitamin D, family history of CVD and diabetes. These point to accelerated ageing in cardiovascular, pulmonary, musculoskeletal, metabolic, renal and hepatic systems. Overall age is the weighted average of organ ages.</t>
  </si>
  <si>
    <t>overall biological age: BMI, smoking, CRP, LDL, HDL, FEV1/FVC, grip#cardiovascular age: smoking, LDL, HDL, CRP, family history#hepatic age: ALT, AST, GGT, bilirubin#pulmonary age: FEV1/FVC, FVC, FEV1#renal age: creatinine, cystatin C, urea#metabolic system age: glucose, HbA1c, lipid profile, vitamin D#musculoskeletal age: grip strength, BMI, waist circumference</t>
  </si>
  <si>
    <t>Overall age reflects balanced lifestyle, normal BP, lipids, and glucose but overweight BMI and low IGF‚Äë1 slightly elevate age. CV age is lowered by normal BP, lipids, active lifestyle, and no smoking. Hepatic age is normal due to normal enzymes and moderate alcohol. Pulmonary age is modestly higher because of borderline FEV1/FVC ratio and family COPD history. Renal age is normal from good creatinine, cystatin C, and microalbumin. Metabolic age is slightly higher due to hypothyroidism and low IGF‚Äë1. Musculoskeletal age is higher because grip strength is below age‚Äëexpected values despite high activity.</t>
  </si>
  <si>
    <t>overall biological age: BMI, activity, IGF‚Äë1, thyroiditis#cardiovascular age: BP, lipids, activity, alcohol#hepatic age: liver enzymes, alcohol#pulmonary age: spirometry, family COPD#renal age: creatinine, cystatin C, microalbumin#metabolic system age: HbA1c, IGF‚Äë1, thyroiditis#musculoskeletal age: grip strength, activity</t>
  </si>
  <si>
    <t>BMI 25.6 and waist 78 cm indicate overweight; former 15‚Äëpack‚Äëyear smoking and daily alcohol raise cardiovascular risk; systolic 141/89 mmHg and LDL 3.25 mmol/L with CRP 3.47 mg/L support a higher cardiovascular age. Liver enzymes are normal, so hepatic age is only modestly advanced. Spirometry shows FEV1 1.97 L (ratio 0.78) and a smoking history, giving a pulmonary age in the mid‚Äë60s. Renal function tests are normal but a past renal failure episode pushes renal age upward. Glucose, HbA1c, lipids, BMI and CRP suggest a metabolic age in the mid‚Äë60s. Hand grip strength 24/23 kg is below age‚Äëexpected norms, indicating a musculoskeletal age in the early 70s. Overall, the combination of risk factors and organ‚Äëspecific findings yields an overall biological age higher than chronological age.</t>
  </si>
  <si>
    <t>overall biological age: BMI, smoking, alcohol, BP, lipids, CRP, family history#cardiovascular age: hypertension, smoking, LDL, CRP, family history#hepatic age: ALT, AST, GGT, alcohol intake#pulmonary age: FEV1, smoking history, spirometry#renal age: creatinine, cystatin C, history of renal failure#metabolic system age: glucose, HbA1c, lipids, BMI, CRP#musculoskeletal age: grip strength, age</t>
  </si>
  <si>
    <t>BMI and waist‚Äëhip ratio indicate obesity, past heavy smoking and hypertension raise cardiovascular risk; mild airflow limitation and snoring suggest pulmonary aging; normal liver enzymes but high processed‚Äëmeat intake hint at moderate hepatic aging; creatinine and cystatin‚ÄØC are normal, so renal age is close to chronological; HbA1c, low IGF‚Äë1, low vitamin‚ÄØD and elevated CRP point to accelerated metabolic aging; grip strength is low relative to age, indicating musculoskeletal decline.</t>
  </si>
  <si>
    <t>overall biological age: BMI, smoking history, hypertension, CRP, IGF‚Äë1, vitamin‚ÄØD, grip strength#cardiovascular age: hypertension, smoking, dyslipidemia, family history, CRP#hepatic age: ALT, AST, ALP, GGT, diet#pulmonary age: FEV1/FVC, smoking history, sleep apnea signs#renal age: creatinine, cystatin‚ÄØC, eGFR#metabolic system age: HbA1c, IGF‚Äë1, vitamin‚ÄØD, CRP#musculoskeletal age: grip strength, BMI, age</t>
  </si>
  <si>
    <t>BMI, waist, BP, lipids, HbA1c, CRP, liver enzymes, creatinine, cystatin C, spirometry, grip strength, activity level, diet, smoking/alcohol history, family disease history, cancer history were evaluated. Normal BMI, low waist, normal BP, favorable lipid profile, normal glucose control, low inflammation, normal liver and kidney markers, normal pulmonary function, and high daily walking suggest a biological age close to chronological age but slightly younger. Organ‚Äëspecific ages reflect the best‚Äëperforming systems (renal, metabolic) and the slightly less optimal musculoskeletal strength.</t>
  </si>
  <si>
    <t>overall biological age: BMI, waist, BP, lipids, HbA1c, CRP, liver enzymes, creatinine, cystatin C, spirometry, grip strength, activity level, diet, smoking/alcohol, family history, cancer history#cardiovascular age: BP, lipids, smoking, alcohol, activity, diet#hepatic age: ALT, AST, GGT, ALP, bilirubin, diet, alcohol#pulmonary age: FVC, FEV1, smoking, activity#renal age: creatinine, cystatin C, microalbumin, diet#metabolic system age: HbA1c, lipids, BMI, waist, diet#musculoskeletal age: grip strength, walking duration, BMI, age</t>
  </si>
  <si>
    <t>Gemini Flash</t>
  </si>
  <si>
    <t>The subject is 56 years old with significant obesity (BMI 31.4, high body fat percentage) and dyslipidemia (high LDL, low HDL, high triglycerides), which accelerates cardiovascular and metabolic aging. While blood glucose and HbA1c are normal, the lipid profile and obesity suggest metabolic syndrome risk. Hepatic markers are within normal limits, suggesting relatively preserved liver function despite obesity. Pulmonary function is decent but potentially impacted by weight and snoring. Musculoskeletal age is elevated due to low physical activity and low hand grip strength relative to age. Renal function appears stable based on creatinine and cystatin C. Overall, the combination of obesity, poor sleep quality, and sedentary lifestyle pushes the biological age higher than the chronological age.</t>
  </si>
  <si>
    <t>overall biological age: BMI, body fat %, physical activity, sleep quality#cardiovascular age: LDL, HDL, triglycerides, blood pressure, obesity#hepatic age: ALT, AST, GGT, bilirubin#pulmonary age: FVC, FEV1, snoring#renal age: creatinine, cystatin C, microalbumin#metabolic system age: glucose, HbA1c, lipid profile, BMI#musculoskeletal age: hand grip strength, physical activity, body fat mass</t>
  </si>
  <si>
    <t>The subject is 69 years old with a significant history of cardiovascular disease (MI, angina, AFib, hypertension) and respiratory issues (COPD, asthma). Despite good physical activity levels and decent grip strength, the combination of daily alcohol consumption, high blood pressure (152/87 mmHg), and a history of smoking (25 pack-years) accelerates biological aging. Cardiovascular and pulmonary systems are notably compromised by chronic conditions. Hepatic markers show elevated GGT, suggesting alcohol impact. Metabolic markers are relatively stable (glucose/HbA1c), but BMI and waist circumference indicate mild obesity. Overall, the subject is biologically older than 69 due to the cumulative burden of chronic cardiovascular and respiratory diseases.</t>
  </si>
  <si>
    <t>overall biological age: 69yo, cardiovascular history, smoking history, alcohol, BMI#cardiovascular age: 152/87 mmHg, MI, angina, AFib, hypertension#hepatic age: GGT 89.2 U/L, daily alcohol#pulmonary age: COPD, asthma, 25 pack-years smoking#renal age: Cystatin C 1.07 mg/L, creatinine 75.8 umol/L#metabolic system age: BMI 27.5, glucose 4.16 mmol/L, HbA1c 38.1 mmol/mol#musculoskeletal age: grip strength 46-48kg, physical activity</t>
  </si>
  <si>
    <t>The subject is 63 years old with significant negative lifestyle factors, primarily a 40 pack-year smoking history, which accelerates aging across all systems. Cardiovascular age is elevated due to smoking, high LDL, and family history of heart disease. Hepatic age is relatively preserved given normal liver enzymes. Pulmonary age is significantly advanced due to long-term smoking and reduced lung function metrics. Renal age is slightly elevated, indicated by elevated Cystatin C. Metabolic age is impacted by high BMI (28.6), high body fat percentage (40.6%), and high salt intake, despite normal glucose/HbA1c. Musculoskeletal age is moderate, supported by decent grip strength but high body fat and low physical activity levels.</t>
  </si>
  <si>
    <t>overall biological age: 40 pack-year smoking, BMI 28.6, high body fat 40.6%, sedentary lifestyle#cardiovascular age: smoking, LDL 3.78 mmol/L, family history of heart disease/stroke#hepatic age: normal ALT/AST/GGT#pulmonary age: 40 pack-year smoking, FVC 2.07L, FEV1 1.62L#renal age: Cystatin C 1.12 mg/L#metabolic system age: BMI 28.6, high salt intake, low water intake#musculoskeletal age: grip strength 25-27kg, high body fat percentage</t>
  </si>
  <si>
    <t>The subject is a 51-year-old female with an exceptionally active lifestyle (high daily walking and vigorous exercise), which significantly lowers her biological age. Her blood pressure is optimal, and lipid profile is excellent. While her BMI (27.6) is slightly elevated, her waist-hip ratio (0.8) and waist circumference are healthy, suggesting good fat distribution. Blood markers for liver and kidney function are well within normal ranges. Despite a history of thyroid issues, her metabolic markers (HbA1c, lipids) are very healthy. Pulmonary function is strong, though family history of respiratory issues is noted. Musculoskeletal age is slightly higher than chronological due to moderate grip strength relative to her high activity level, but overall, her physiological markers suggest a younger biological age.</t>
  </si>
  <si>
    <t>overall biological age: high physical activity, optimal blood pressure, healthy lipid profile#cardiovascular age: low BP, healthy cholesterol, no smoking#hepatic age: normal ALT/AST/GGT, healthy bilirubin#pulmonary age: good FVC/FEV1, family history of bronchitis#renal age: normal creatinine/cystatin C, no albuminuria#metabolic system age: healthy HbA1c, normal triglycerides, thyroid history#musculoskeletal age: BMI 27.6, moderate grip strength, high activity level</t>
  </si>
  <si>
    <t>The subject is 55 years old with a mixed health profile. Positive factors include high physical activity levels and a nutrient-rich diet. Negative factors include a history of hypertension, renal failure, tobacco abuse, daily alcohol consumption, and insomnia. Elevated blood pressure (141/89 mmHg) and borderline high cholesterol suggest cardiovascular strain. Liver enzymes are normal, suggesting resilience despite alcohol intake. Renal markers (Cystatin C, creatinine) are within normal ranges, but the history of renal failure necessitates caution. Pulmonary function is decent given the smoking history. Overall, the high activity level mitigates some risks, but chronic hypertension and past renal/tobacco issues push the biological age slightly above chronological age.</t>
  </si>
  <si>
    <t>overall biological age: BMI, hypertension, activity level, sleep quality#cardiovascular age: blood pressure, cholesterol, smoking history, alcohol intake#hepatic age: liver enzymes, alcohol intake#pulmonary age: spirometry, smoking history#renal age: creatinine, cystatin C, history of renal failure#metabolic system age: glucose, HbA1c, lipid profile, BMI#musculoskeletal age: hand grip strength, physical activity, fat percentage</t>
  </si>
  <si>
    <t>The subject is 65 years old with a BMI of 29.9 (overweight/obese) and significant central adiposity (waist 95cm). While blood pressure is currently controlled, the history of hypertension, family history of heart disease, and lipid profile (borderline triglycerides/LDL) suggest cardiovascular strain. Hepatic markers are within normal limits, suggesting good liver function. Pulmonary age is slightly elevated due to a 22 pack-year smoking history, despite current cessation. Renal function is stable (creatinine/cystatin C normal). Metabolic age is impacted by high body fat percentage (38.3%) and low Vitamin D, though glucose/HbA1c are healthy. Musculoskeletal age is mixed; while vigorous activity is reported, the significant asymmetry in grip strength (17kg vs 30kg) and high body fat suggest sarcopenic obesity risk and potential neurological or localized injury issues.</t>
  </si>
  <si>
    <t>overall biological age: BMI, body fat %, sleep quality, smoking history#cardiovascular age: BP, family history, lipid profile, smoking history#hepatic age: ALT, AST, GGT, bilirubin#pulmonary age: smoking history, FEV1/FVC ratio#renal age: creatinine, cystatin C, microalbumin#metabolic system age: HbA1c, glucose, Vitamin D, triglycerides#musculoskeletal age: grip strength asymmetry, BMI, physical activity</t>
  </si>
  <si>
    <t>The subject is a 59-year-old female with a very healthy lifestyle, characterized by high physical activity (walking), a lean BMI (20.7), and excellent blood pressure. Her blood biochemistry shows optimal metabolic, renal, and hepatic function, with low inflammation markers (CRP). Despite a history of uterine cancer, she has been disease-free for over a decade. Her diet is plant-heavy but lacks animal protein, which may slightly impact muscle mass. Overall, her physiological markers suggest a biological age significantly younger than her chronological age.</t>
  </si>
  <si>
    <t>overall biological age: BMI, blood pressure, physical activity, low inflammation#cardiovascular age: BP 105/68, lipid profile, non-smoker#hepatic age: ALT/AST/GGT levels, bilirubin#pulmonary age: FVC/FEV1, non-smoker#renal age: creatinine, cystatin C, microalbumin#metabolic system age: HbA1c, glucose, lipid profile#musculoskeletal age: BMI, grip strength, physical activity</t>
  </si>
  <si>
    <t>Qwen 3</t>
  </si>
  <si>
    <t>The person is 56 chronologically but shows signs of accelerated aging: high BMI (31.4) and fat percentage (44%) indicate metabolic and cardiovascular strain; low physical activity and poor sleep (6h, insomnia, snoring) contribute to systemic aging. Liver enzymes are normal but elevated CRP (3.78) suggests low-grade inflammation. Dyslipidemia (high LDL, triglycerides, low HDL) and elevated HbA1c (30.6 mmol/mol ‚âà 5.0%) indicate metabolic dysfunction. Pulmonary function is mildly reduced for age. Grip strength is low for age, suggesting musculoskeletal aging. Renal and hepatic markers are within normal limits. Overall, biological age is accelerated due to obesity, inactivity, inflammation, and metabolic dysregulation.</t>
  </si>
  <si>
    <t>overall biological age: BMI, body fat percentage, HbA1c, CRP, physical inactivity, sleep duration#cardiovascular age: LDL, HDL, triglycerides, waist-hip ratio, CRP#hepatic age: ALT, AST, GGT, bilirubin#pulmonary age: FVC, FEV1, PEF#renal age: creatinine, cystatin C, microalbumin#metabolic system age: BMI, body fat, HbA1c, triglycerides, HDL, glucose#musculoskeletal age: hand grip strength, physical inactivity</t>
  </si>
  <si>
    <t>Despite quitting smoking, 25 pack-years and chronic COPD/asthma significantly accelerate pulmonary and cardiovascular aging. Daily alcohol and elevated GGT, CRP, and triglycerides indicate liver stress and systemic inflammation. Hypertension, prior myocardial infarction, and atrial fibrillation point to advanced cardiovascular aging. BMI 27.5 and trunk fat percentage 30.8 suggest metabolic syndrome. Hand grip strength is preserved, but age-related decline is evident. Renal function is normal (creatinine, cystatin C). HbA1c and glucose are excellent, but low testosterone and IGF-1 suggest accelerated metabolic aging. Pulmonary function is severely reduced for age.</t>
  </si>
  <si>
    <t>overall biological age: smoking history, COPD, hypertension, myocardial infarction, GGT, CRP, low IGF-1, low testosterone#cardiovascular age: hypertension, myocardial infarction, atrial fibrillation, LDL, triglycerides, CRP#hepatic age: daily alcohol, GGT 89.2, CRP 3.64, triglycerides 1.68#pulmonary age: COPD, asthma, FVC 3.08L, FEV1 1.99L, low PEF#renal age: creatinine 75.8, cystatin C 1.07, microalbumin &lt;6.7#metabolic system age: BMI 27.5, trunk fat 30.8%, low testosterone, low IGF-1, HbA1c 38.1#musculoskeletal age: grip strength 46-48kg, age 69, physical activity level</t>
  </si>
  <si>
    <t>The person has significant aging indicators: 40 pack-year smoking history, high BMI (28.6) and fat percentage (40.6%), low physical activity, poor diet (high salt, low fruit/vegetables, minimal water), low HDL, elevated CRP, and low IGF-1. Spirometry shows reduced lung function (FEV1/FVC ~78%), suggesting accelerated pulmonary aging. Liver enzymes are normal but metabolic markers (HbA1c 32.5 mmol/mol, high triglycerides, low HDL) indicate insulin resistance. Hand grip strength is low for age, reflecting musculoskeletal decline. Renal function is preserved. Depressive history and low income may exacerbate aging. Overall biological age is significantly elevated.</t>
  </si>
  <si>
    <t>overall biological age: smoking 40 pack-years, BMI 28.6, body fat 40.6%, low HDL, high CRP, low IGF-1, HbA1c 32.5 mmol/mol, low physical activity#cardiovascular age: smoking, low HDL, high CRP, family history of heart disease#hepatic age: normal liver enzymes, no direct damage#pulmonary age: FEV1 1.62L, FVC 2.07L, low PEF#renal age: normal creatinine, cystatin C, microalbumin#metabolic system age: HbA1c 32.5 mmol/mol, low HDL, high triglycerides, high CRP, high waist-hip ratio#musculoskeletal age: low hand grip strength (25-27 kg), low physical activity</t>
  </si>
  <si>
    <t>The individual has an excellent lifestyle: no smoking, moderate alcohol, high physical activity, good sleep, and a nutrient-rich diet. BMI is elevated (27.6) with high fat percentage (35.8%), suggesting metabolic aging. HbA1c is very low (34.5 mmol/mol), indicating excellent glucose control. Liver enzymes, kidney markers (creatinine, cystatin C), and inflammation (CRP) are all optimal. Pulmonary function is strong despite family history of bronchitis. Grip strength is moderate for age. Thyroiditis and hypothyroidism may slightly accelerate metabolic aging. Overall, biological age is slightly elevated due to adiposity but otherwise youthful.</t>
  </si>
  <si>
    <t>overall biological age: BMI, body fat percentage, HbA1c, thyroiditis#cardiovascular age: BP, triglycerides, CRP, family history of heart disease#hepatic age: ALT, AST, GGT, bilirubin#pulmonary age: FVC, FEV1, family history of bronchitis#renal age: creatinine, cystatin C, microalbumin#metabolic system age: HbA1c, BMI, body fat percentage, triglycerides, thyroiditis#musculoskeletal age: grip strength, physical activity, fat-free mass</t>
  </si>
  <si>
    <t>Despite past smoking (15 pack-years) and daily alcohol use, current lifestyle is highly active with excellent physical activity levels, healthy diet, and normal kidney/liver markers. Hypertension and past renal failure elevate cardiovascular and renal age. Low HDL and elevated CRP suggest inflammation. Hand grip strength and spirometry are preserved, indicating youthful musculoskeletal and pulmonary function. HbA1c and glucose are normal, but low Vitamin D and elevated triglycerides slightly elevate metabolic age. Hepatic enzymes are normal, suggesting minimal liver damage. Overall biological age is elevated due to cardiovascular and renal history, but offset by strong physical activity and metabolic health.</t>
  </si>
  <si>
    <t>overall biological age: past smoking, alcohol, hypertension, renal failure, CRP, Vitamin D#cardiovascular age: hypertension, past smoking, CRP, LDL, triglycerides#hepatic age: normal liver enzymes, alcohol use#pulmonary age: spirometry values, no current smoking#renal age: past renal failure, creatinine, cystatin C#metabolic system age: HbA1c, glucose, Vitamin D, triglycerides, CRP#musculoskeletal age: hand grip strength, physical activity, BMI</t>
  </si>
  <si>
    <t>The person is a 65-year-old female with a history of 22 pack-year smoking, obesity (BMI 29.9, 38.3% body fat), low physical activity despite some vigorous exercise, poor sleep, and elevated CRP. Liver enzymes are normal, but low Vitamin D and high triglycerides suggest metabolic stress. Pulmonary function is reduced (FEV1/FVC 71.7%), indicating accelerated lung aging. Renal function is preserved. HbA1c is high (34.8 mmol/mol), indicating prediabetes. Grip strength is asymmetric and low for age. Cardiovascular risk is elevated due to smoking history, family history, and dyslipidemia. Overall biological age is significantly elevated due to cumulative lifestyle and metabolic insults.</t>
  </si>
  <si>
    <t>overall biological age: smoking history, BMI, body fat %, HbA1c, CRP, Vitamin D, sleep duration#cardiovascular age: smoking history, family history, LDL, triglycerides, HDL, hypertension#hepatic age: normal liver enzymes, normal bilirubin#pulmonary age: FEV1 1.85L, FVC 2.58L, low PEF#renal age: creatinine, cystatin C, microalbuminuria#metabolic system age: HbA1c 34.8 mmol/mol, triglycerides, HDL, Vitamin D, waist-hip ratio#musculoskeletal age: right grip 30kg, left grip 17kg, low physical activity, fat-free mass</t>
  </si>
  <si>
    <t>The individual is a non-smoker with moderate alcohol use, high daily walking (190 min), and a healthy BMI (20.7). Fat percentage is elevated (30.9%), but fat distribution is central-normal (WHR 0.8). Blood pressure is optimal. Lung function (FEV1/FVC 85.3%) is preserved. Liver enzymes are normal. Kidney function (creatinine 48.9, cystatin C 0.7) is excellent. Metabolic markers (HbA1c 34.1 mmol/mol, triglycerides 0.73, glucose 4.96) indicate excellent glycemic control. Hand grip strength is low for age (right 30 kg), suggesting reduced musculoskeletal resilience. History of uterine cancer may have induced accelerated aging, but no current inflammation (CRP 0.15) or organ dysfunction. IGF-1 is low (21.51 nmol/L), consistent with aging. Overall, biological age is slightly elevated due to low muscle strength and low IGF-1, but otherwise very healthy.</t>
  </si>
  <si>
    <t>overall biological age: low IGF-1, low hand grip strength, high fat percentage, uterine cancer history#cardiovascular age: normal BP, normal lipids, no smoking#hepatic age: normal liver enzymes, normal bilirubin#pulmonary age: FEV1/FVC 85.3%, normal FVC#renal age: low creatinine, low cystatin C, microalbumin &lt;6.7#metabolic system age: HbA1c 34.1, triglycerides 0.73, glucose 4.96#musculoskeletal age: low hand grip strength, high fat mass, low IGF-1</t>
  </si>
  <si>
    <t>Gemini Pro</t>
  </si>
  <si>
    <t>The individual is a 56-year-old female. She has a high BMI (31.4, obese) and high body fat percentage (44%), which accelerates overall aging. Her lifestyle is mixed: she doesn't smoke and drinks occasionally, but her physical activity is low and sleep is suboptimal (6 hours, insomnia, snoring). Her lipid profile is poor (high cholesterol 7.63, high LDL 5.21, high triglycerides 3.01, low HDL 0.93), indicating accelerated cardiovascular and metabolic aging. Her mother had diabetes, adding metabolic risk, though her current glucose and HbA1c are normal. Liver enzymes are slightly elevated (ALT 38.31, GGT 37.4), suggesting mild hepatic stress, possibly fatty liver due to obesity. Renal function is normal (creatinine 61, cystatin C 0.94). Lung function is normal. Grip strength is somewhat low (19/21 kg), indicating accelerated musculoskeletal aging. Overall, her biological age is likely higher than her chronological age due to obesity, poor lipid profile, and low physical activity.</t>
  </si>
  <si>
    <t>overall biological age: BMI, body fat, low physical activity, poor lipid profile#cardiovascular age: high LDL, high triglycerides, low HDL, obesity#hepatic age: ALT, GGT, obesity#pulmonary age: FVC, FEV1#renal age: creatinine, cystatin C#metabolic system age: lipid profile, obesity, family history of diabetes#musculoskeletal age: grip strength, low physical activity</t>
  </si>
  <si>
    <t>The patient is a 69-year-old male with a significant history of cardiovascular and pulmonary diseases. His overall biological age is estimated to be higher than his chronological age due to his medical history of myocardial infarction, angina, atrial fibrillation, hypertension, and COPD. Cardiovascular age is significantly elevated due to high blood pressure (152/87) and extensive history of heart disease. Pulmonary age is also markedly increased due to a 25-pack-year smoking history, COPD, asthma, and reduced FEV1. Hepatic age is slightly elevated due to daily alcohol consumption and high GGT levels. Renal age appears normal based on healthy creatinine and cystatin C levels. Metabolic age is slightly elevated due to overweight status (BMI 27.5) and history of lipid disorders, though current blood glucose and lipids are reasonably controlled. Musculoskeletal age is slightly younger than chronological age due to good physical activity levels and strong hand grip strength.</t>
  </si>
  <si>
    <t>overall biological age: history of MI, COPD, high BP, overweight#cardiovascular age: high systolic BP, history of MI, angina, AFib, hypertension#hepatic age: daily alcohol, elevated GGT#pulmonary age: COPD, asthma, 25 pack-years smoking, low FEV1#renal age: normal creatinine, normal cystatin C#metabolic system age: BMI 27.5, history of lipid disorders#musculoskeletal age: good physical activity, high hand grip strength</t>
  </si>
  <si>
    <t>The individual is a 63-year-old female with a significant smoking history (40 pack years) and a family history of cardiovascular disease and diabetes. Her BMI is 28.6 (overweight), with high body fat percentage. Blood pressure is normal. Spirometry shows reduced lung function, likely due to heavy smoking. Liver and kidney function markers are generally within normal limits, though cystatin C is slightly elevated. Lipid profile shows elevated LDL cholesterol and low HDL cholesterol, indicating metabolic and cardiovascular risk. CRP is slightly elevated, suggesting mild systemic inflammation. Given the heavy smoking, overweight status, and family history, her overall biological age is likely higher than her chronological age. Cardiovascular age is elevated due to smoking, lipid profile, and family history. Pulmonary age is significantly elevated due to heavy smoking and reduced spirometry values. Metabolic age is slightly elevated due to overweight and lipid profile. Hepatic and renal ages are relatively close to chronological age. Musculoskeletal age is slightly elevated due to lower physical activity and grip strength.</t>
  </si>
  <si>
    <t>overall biological age: smoking, BMI, family history, CRP#cardiovascular age: smoking, LDL cholesterol, HDL cholesterol, family history#hepatic age: ALT, AST, GGT#pulmonary age: smoking, FVC, FEV1#renal age: creatinine, cystatin C#metabolic system age: BMI, LDL cholesterol, HDL cholesterol, family history#musculoskeletal age: physical activity, hand grip strength</t>
  </si>
  <si>
    <t>The individual is a 51-year-old female with a generally healthy lifestyle, including no smoking, moderate alcohol consumption, a balanced diet, and high physical activity. Her BMI is 27.6, indicating slight overweight, but her waist-hip ratio is healthy. Blood pressure is excellent (108/76 mmHg). Liver and kidney function markers are within normal ranges. Metabolic markers (HbA1c, cholesterol, triglycerides) are very good. Spirometry results are normal, though there is a family history of respiratory issues. Hand grip strength is average. She has a history of thyroiditis and hypothyroidism, which might slightly affect her metabolic age, but her overall health indicators suggest she is biologically younger than her chronological age.</t>
  </si>
  <si>
    <t>overall biological age: healthy lifestyle, high physical activity, good blood pressure, normal blood biochemistry, slight overweight, history of thyroid issues#cardiovascular age: excellent blood pressure, normal cholesterol and triglycerides, high physical activity, family history of heart disease#hepatic age: normal ALT, AST, ALP, GGT, bilirubin#pulmonary age: normal spirometry, no smoking, family history of bronchitis/emphysema#renal age: normal creatinine, cystatin C, urea#metabolic system age: normal HbA1c, good lipid profile, history of hypothyroidism#musculoskeletal age: average hand grip strength, high physical activity</t>
  </si>
  <si>
    <t>The individual is a 55-year-old female. She has a history of smoking (15 pack years) and drinks alcohol almost every day. Her diet is relatively balanced, and she is physically active. She has a history of hypertension, irritable bowel syndrome, tobacco abuse disorder, and renal failure. Her BMI is 25.6 (slightly overweight). Blood pressure is elevated (141/89 mmHg). Liver function tests are normal. Renal function shows creatinine 63.1 umol/L and cystatin C 0.95 mg/L, but she has a history of renal failure. Metabolic markers show slightly elevated cholesterol (5.86 mmol/L) but good HDL (2.14 mmol/L) and normal glucose (5.3 mmol/L). Spirometry is slightly reduced. Hand grip strength is average. Family history is significant for hypertension, heart disease, depression, lung cancer, and dementia. Overall, her biological age is likely higher than her chronological age due to her history of smoking, daily alcohol, hypertension, and renal failure. Cardiovascular age is elevated due to hypertension and family history. Hepatic age is normal. Pulmonary age is elevated due to smoking history and family history of lung cancer. Renal age is elevated due to history of renal failure. Metabolic age is slightly elevated due to BMI and cholesterol. Musculoskeletal age is average.</t>
  </si>
  <si>
    <t>overall biological age: smoking history, daily alcohol, hypertension, renal failure, BMI#cardiovascular age: hypertension, elevated blood pressure, family history#hepatic age: normal liver enzymes#pulmonary age: smoking history, spirometry#renal age: history of renal failure#metabolic system age: BMI, cholesterol#musculoskeletal age: hand grip strength</t>
  </si>
  <si>
    <t>The individual is a 65-year-old female with a history of smoking (22 pack years), obesity (BMI 29.9), and a family history of heart disease. She has a history of hypertension, sleep disorders, and lipoprotein metabolism disorders. Her physical activity is moderate to vigorous but sleep is poor (insomnia, snoring). Blood pressure is well-controlled (123/81). Liver enzymes are normal. Renal function is normal (creatinine 74.3, cystatin C 0.95). Metabolic markers show normal glucose (4.75) and HbA1c (34.8), but triglycerides are slightly elevated (1.98) and HDL is borderline low (1.06). CRP is slightly elevated (3.35). Lung function is slightly reduced. Hand grip strength is asymmetrical (17 kg left, 30 kg right). Overall, her biological age is likely slightly higher than her chronological age due to obesity, smoking history, and metabolic/cardiovascular risk factors.</t>
  </si>
  <si>
    <t>overall biological age: BMI, smoking history, sleep disorders, CRP#cardiovascular age: family history of heart disease, hypertension history, triglycerides, HDL, smoking history#hepatic age: ALT, AST, ALP, GGT, bilirubin#pulmonary age: spirometry, smoking history#renal age: creatinine, cystatin C, urea, microalbumin#metabolic system age: BMI, triglycerides, HDL, glucose, HbA1c#musculoskeletal age: hand grip strength, physical activity</t>
  </si>
  <si>
    <t>The individual is a 59-year-old female with a generally healthy lifestyle, including no smoking, moderate alcohol intake, and high physical activity (walking 190 mins/day). Her BMI is 20.7, which is healthy. Blood pressure is excellent (105/68 mmHg). Liver and kidney function markers are within normal ranges. Metabolic markers (glucose, HbA1c, lipids) are also healthy. Spirometry and grip strength are good for her age. However, she has a history of corpus uteri cancer (&gt;10 years ago) and a strong paternal family history of cardiovascular and metabolic diseases. Given her excellent current health metrics and lifestyle, her biological age is likely lower than her chronological age across most systems, though her family history and past cancer history warrant slight caution.</t>
  </si>
  <si>
    <t>overall biological age: healthy BMI, high physical activity, past cancer history, strong family history of diseases#cardiovascular age: excellent blood pressure, healthy lipid profile, paternal history of heart disease and stroke#hepatic age: normal ALT, AST, ALP, GGT, bilirubin#pulmonary age: good FVC and FEV1, no smoking#renal age: normal creatinine, cystatin C, urea#metabolic system age: normal glucose, HbA1c, healthy BMI, paternal history of diabetes#musculoskeletal age: good grip strength, high walking activity</t>
  </si>
  <si>
    <t>Claude Sonnet</t>
  </si>
  <si>
    <t>This 56-year-old female has several notable findings. Overall: She is obese (BMI 31.4, waist 105cm, WHR 0.91, body fat 44%), physically inactive, with poor sleep (6h, insomnia, snoring suggesting possible sleep apnea). Diet has reasonable fruit intake but low vegetables, high carbohydrate (bread/cereal), low water. Non-smoker, minimal alcohol. These factors push biological age older. Cardiovascular: Total cholesterol 7.63 mmol/L (severely elevated), LDL 5.21 mmol/L (severely elevated), HDL 0.93 mmol/L (low), triglycerides 3.01 mmol/L (elevated), ApoB 1.49 g/L (elevated), ApoA low-normal. This lipid profile is severely atherogenic. BP is borderline normal (125/80). CRP 3.78 mg/L (mildly elevated, indicating inflammation). Pulse 86 bpm slightly elevated. These indicate significantly aged cardiovascular system. Hepatic: ALT 38.31 (upper normal/mildly elevated), AST 27.5 (normal), GGT 37.4 (normal-high for female), ALP 79.4 (normal), total bilirubin 22.94 (slightly elevated, upper limit ~21), albumin 47 (good), total protein 72.34 (normal). Obesity and mildly elevated liver enzymes suggest possible NAFLD, pushing hepatic age slightly older. Pulmonary: FVC 3.55L, FEV1 2.95L, FEV1/FVC=0.83 (normal ratio). For a 56-year-old female 167cm, predicted FVC ~3.3-3.5L and FEV1 ~2.6-2.8L, so values are actually slightly above predicted ‚Äî pulmonary function is relatively well-preserved. Snoring/possible sleep apnea noted but lungs per spirometry appear normal-to-younger. Renal: Creatinine 61 umol/L (normal, eGFR estimated ~90+ ml/min/1.73m2), cystatin C 0.94 mg/L (normal), urea 5.19 (normal), micro-albumin &lt;6.7 (normal). Renal function appears well-preserved, suggesting younger renal age. Metabolic: Glucose 4.83 (normal), HbA1c 30.6 mmol/mol (~5.0%, excellent). However, severe dyslipidemia (high cholesterol, LDL, triglycerides, low HDL), obesity, maternal diabetes history, and urate 356.4 umol/L (borderline elevated) indicate metabolic dysfunction. The dyslipidemia and central obesity dominate, aging the metabolic system significantly. Musculoskeletal: Grip strength left 19kg, right 21kg ‚Äî for a 56-year-old female, normal grip is ~25-30kg; these are below normal, indicating reduced muscle strength. Low fat-free mass (49kg) relative to high body weight, vitamin D 32.6 nmol/L (insufficient, &lt;50 nmol/L), low IGF-1 24.06 nmol/L (low-normal), SHBG 24.92 (low-normal). These suggest sarcopenic obesity with musculoskeletal aging. Overall biological age is estimated older than 56 due to obesity, severe dyslipidemia, physical inactivity, poor grip strength, vitamin D insufficiency, and inflammation, offset partially by good glycemic control, preserved renal function, and non-smoking status.</t>
  </si>
  <si>
    <t>overall biological age: BMI 31.4, obesity, severe dyslipidemia (TC 7.63, LDL 5.21, TG 3.01, HDL 0.93), physical inactivity, CRP 3.78, poor grip strength, vitamin D insufficiency, insomnia/snoring, low vegetable intake#cardiovascular age: TC 7.63, LDL 5.21, HDL 0.93, TG 3.01, ApoB 1.49, CRP 3.78, central obesity (waist 105cm, WHR 0.91), BP 125/80, pulse 86#hepatic age: ALT 38.31 (mildly elevated), GGT 37.4 (upper normal), total bilirubin 22.94 (slightly elevated), obesity/NAFLD risk, good albumin#pulmonary age: FVC 3.55L, FEV1 2.95L, FEV1/FVC 0.83 (normal/above predicted), non-smoker#renal age: creatinine 61, cystatin C 0.94, urea 5.19, micro-albumin &lt;6.7, eGFR normal#metabolic system age: severe dyslipidemia, central obesity, TG 3.01, HDL 0.93, urate 356.4, maternal diabetes, glucose normal, HbA1c excellent#musculoskeletal age: grip strength L19/R21kg (below normal), vitamin D 32.6 nmol/L (insufficient), low IGF-1 24.06, low SHBG 24.92, sarcopenic obesity, physical inactivity</t>
  </si>
  <si>
    <t>This 69-year-old retired male has a complex medical history and mixed lifestyle indicators. Overall: He is a former heavy smoker (25 pack-years), daily alcohol drinker, has poor diet (high salt, low water, processed meats, minimal vegetables), but maintains reasonable physical activity. He has serious cardiovascular history (angina, chronic ischaemic heart disease, MI, atrial fibrillation, hypertension, dyslipidemia) and long-standing pulmonary disease (asthma, COPD 10+ years). BMI 27.5 is overweight, waist-hip ratio 0.86 is borderline. CRP 3.64 is mildly elevated indicating systemic inflammation. Grip strength (48/46 kg) is actually quite good for age 69, suggesting preserved musculoskeletal function. IGF-1 15.76 nmol/L is low-normal for age, testosterone 9.99 nmol/L with high SHBG 56.79 suggesting low free testosterone, consistent with aging. Vitamin D 79.9 is adequate. Calcium and phosphate normal. Cardiovascular: Hypertension (SBP 152/DBP 87), history of MI, angina, atrial fibrillation, chronic ischaemic heart disease, dyslipidemia. Cholesterol 5.04, LDL 2.91, triglycerides 1.68 are moderately elevated. These indicate significantly aged cardiovascular system, estimated ~80. Hepatic: ALT 23 and AST 26.6 are normal, but GGT 89.2 is elevated (likely alcohol-related), ALP 120.2 is borderline high. Albumin 46.11 is excellent. Total bilirubin normal. Daily alcohol use. Hepatic age estimated ~74. Pulmonary: FVC 3.08L, FEV1 1.99L, FEV1/FVC ratio ~64.6% indicating moderate obstructive pattern consistent with COPD/asthma diagnosis. PEF 333 is reduced. 25 pack-years smoking history. Father had lung cancer. Pulmonary age significantly elevated, estimated ~80. Renal: Creatinine 75.8 umol/L is normal, cystatin C 1.07 mg/L is slightly elevated (borderline for age), urea 6.48 normal, urine microalbumin &lt;6.7 (normal). Renal function is reasonably preserved, estimated ~68. Metabolic: Glucose 4.16 normal, HbA1c 38.1 (normal, no diabetes), cholesterol moderately elevated, triglycerides slightly elevated, HDL 1.56 is acceptable. Lipoprotein metabolism disorder diagnosis. Estimated ~72. Musculoskeletal: Grip strength 48/46 kg is excellent for a 69-year-old male (above average), Vitamin D adequate, calcium normal. Physical activity is good (walking + moderate + vigorous). However, low IGF-1 and low free testosterone may negatively impact. Estimated ~63. Overall biological age: Balancing severely aged cardiovascular and pulmonary systems, moderately affected hepatic/metabolic systems, relatively preserved renal and musculoskeletal systems, with significant disease burden (MI, AF, COPD), chronic inflammation, alcohol use, and former heavy smoking, overall biological age is estimated ~76.</t>
  </si>
  <si>
    <t>overall biological age: MI history, AF, COPD/asthma, hypertension, elevated SBP, former heavy smoker (25 pack-years), daily alcohol, elevated GGT, elevated CRP, FEV1/FVC 64.6%, overweight BMI, dyslipidemia, low free testosterone, low IGF-1, good grip strength partially offsetting#cardiovascular age: MI, angina, chronic ischaemic heart disease, atrial fibrillation, hypertension (SBP 152), dyslipidemia (LDL 2.91, TG 1.68), smoking history, daily alcohol, elevated CRP#hepatic age: elevated GGT (89.2), borderline ALP (120.2), daily alcohol, normal ALT/AST, excellent albumin#pulmonary age: FEV1/FVC 64.6% (moderate obstruction), COPD+asthma 10+ years, 25 pack-years smoking, reduced PEF 333, family history of lung cancer#renal age: creatinine 75.8 (normal), cystatin C 1.07 (borderline), urea 6.48 (normal), microalbumin normal, hypertension risk#metabolic system age: lipoprotein metabolism disorder, cholesterol 5.04, LDL 2.91, TG 1.68, HDL 1.56, glucose normal, HbA1c normal, daily alcohol, high salt diet#musculoskeletal age: excellent grip strength (48/46 kg), adequate Vitamin D (79.9), normal calcium, good physical activity, low IGF-1 (15.76), high SHBG/low free testosterone</t>
  </si>
  <si>
    <t>This 63-year-old female has several concerning health indicators. She is a heavy smoker (40 pack-years, current daily smoker), which significantly accelerates aging across multiple organ systems, particularly pulmonary and cardiovascular. BMI is 28.6 (overweight), body fat percentage is high at 40.6%, waist circumference 87cm is borderline for metabolic risk in females. Blood pressure is well-controlled (117/67 mmHg), pulse 69 bpm is normal. Spirometry shows FVC 2.07L and FEV1 1.62L with FEV1/FVC ratio ~0.78, and PEF 280 L/min ‚Äî these are notably reduced for a 63-year-old female (predicted FVC ~2.8-3.0L, FEV1 ~2.2-2.4L), consistent with mild-to-moderate obstructive/restrictive pattern, likely COPD from heavy smoking, aging the lungs significantly. Liver enzymes (ALT 15.32, AST 15.7, ALP 67.4, GGT 21.6) are all normal/low, bilirubin normal, albumin 41.57 and total protein 67.72 slightly low-normal ‚Äî hepatic age appears relatively good. Renal: creatinine 68.7 umol/L is normal, but cystatin C 1.12 mg/L is mildly elevated (normal &lt;1.0 mg/L), suggesting early renal aging; urea 6.11 is borderline high; urine microalbumin &lt;6.7 is normal. eGFR estimated ~65-70 ml/min suggesting mild reduction. Cardiovascular: cholesterol 5.39, LDL 3.78 is elevated, HDL 1.0 mmol/L is low (especially concerning for a female), apolipoprotein B 1.12 is elevated, lipoprotein(a) 138.47 nmol/L is significantly elevated (high CVD risk), triglycerides 1.09 normal. Strong family history of hypertension, stroke, heart disease (father). CRP 3.87 mg/L is mildly elevated indicating low-grade inflammation. These cardiovascular risk factors (elevated LDL, low HDL, very high Lp(a), smoking, family history) significantly age the cardiovascular system. Metabolic: glucose 5.57 borderline, HbA1c 32.5 mmol/mol (~5.1%) is normal. Triglycerides normal. Mother had diabetes ‚Äî some metabolic risk. Vitamin D 41.6 nmol/L is insufficient (&lt;50 nmol/L). Calcium and phosphate normal. IGF-1 21.36 nmol/L is low for age (normal ~10-35, but on the lower end suggesting reduced anabolic signaling). Musculoskeletal: hand grip strength left 27 kg, right 25 kg ‚Äî for a 63-year-old female, normative values are approximately 25-30 kg, so grip strength is adequate but on the lower side. Vitamin D insufficiency and low IGF-1 suggest some musculoskeletal aging. History of nutritional anaemias (resolved). Blood count: WBC 8.7 slightly elevated, neutrophils 5.2 elevated suggesting mild inflammation/immune activation consistent with smoking. Platelet count 336 is slightly high. Haemoglobin 14.1 and haematocrit 41.2% are normal. Depression history (10+ years) adds to overall biological aging. Physical activity is modest. Diet is relatively poor (high salt, low vegetables/fruit variety, low water intake). Overall, the heavy smoking history, poor pulmonary function, elevated cardiovascular risk markers (especially Lp(a), LDL, low HDL), mild renal impairment (elevated cystatin C), chronic depression, overweight status, and poor diet collectively suggest biological age notably above chronological age. Pulmonary age is most advanced due to heavy smoking and reduced spirometry. Cardiovascular age is also significantly elevated due to Lp(a), LDL, low HDL, smoking, and family history. Renal age is mildly elevated. Hepatic age is relatively preserved. Metabolic age is slightly elevated. Musculoskeletal is mildly elevated.</t>
  </si>
  <si>
    <t>overall biological age: 40 pack-year smoking, BMI 28.6, high body fat 40.6%, elevated LDL 3.78, low HDL 1.0, high Lp(a) 138.47, cystatin C 1.12, CRP 3.87, reduced spirometry, Vitamin D insufficient, chronic depression, poor diet, family history CVD#cardiovascular age: LDL 3.78, HDL 1.0, Lp(a) 138.47 (very high), apoB 1.12, smoking 40 pack-years, CRP 3.87, family history (father: hypertension/stroke/heart disease), BP well-controlled#hepatic age: ALT 15.32, AST 15.7, ALP 67.4, GGT 21.6 all normal, bilirubin normal, albumin 41.57 normal, occasional alcohol#pulmonary age: FVC 2.07L (reduced), FEV1 1.62L (reduced), FEV1/FVC 0.78, PEF 280 (reduced), 40 pack-year current daily smoking#renal age: cystatin C 1.12 (mildly elevated), urea 6.11 (borderline), creatinine 68.7 normal, urine microalbumin normal, history of urinary disorder#metabolic system age: glucose 5.57 borderline, HbA1c 32.5 normal, triglycerides normal, high salt diet, overweight BMI 28.6, high body fat, mother had diabetes, Vitamin D 41.6 insufficient#musculoskeletal age: grip strength L27/R25 kg (low-normal), Vitamin D 41.6 insufficient, low IGF-1 21.36, calcium normal, overweight</t>
  </si>
  <si>
    <t>This 51-year-old female has several positive health factors: never smoked, moderate alcohol intake, excellent physical activity (walking 180 min/day, moderate and vigorous exercise), good sleep, low blood pressure (108/76), excellent lipid profile (cholesterol 4.32, LDL 2.35, TG 0.52), very low CRP (0.25), excellent liver enzymes (ALT 13.45, AST 18.6, GGT 12), good kidney markers (creatinine 68.6, cystatin C 0.74, no microalbuminuria), low HbA1c (34.5 mmol/mol), and good spirometry relative to age. Negatives include: BMI 27.6 (overweight), body fat 35.8% (elevated for females), low lymphocyte count (1.09, 12.28%) with high neutrophil% (80.9%) suggesting possible chronic low-grade immune stress or thyroid-related immune shift, haematocrit 37.14% and Hb 13.17 g/dL slightly low-normal possibly related to hypothyroidism, IGF-1 18.57 nmol/L relatively low for age, Vitamin D 68.3 nmol/L acceptable, very hot drinks (esophageal risk), high water intake low, processed/red meat weekly, family history of heart disease (mother) and COPD (father). Hypothyroidism (recent) and thyroiditis (10+ years) add some aging burden. Irritable bowel syndrome is relatively benign. Overall: exceptional lifestyle offsets several risks, biological age likely younger than chronological. Cardiovascular: BP excellent, lipids excellent, low CRP, but mother had heart disease and BMI slightly elevated; estimated ~47. Hepatic: liver enzymes all excellent, low GGT, bilirubin normal; estimated ~42. Pulmonary: FVC 3.35L, FEV1 2.64L, PEF 354 for a 51yo female 156cm ‚Äî FEV1/FVC=0.788 normal, values are reasonable though not outstanding; father had COPD; estimated ~50. Renal: creatinine, cystatin C, urea all excellent, no microalbuminuria; estimated ~40. Metabolic: HbA1c very low, TG very low, cholesterol good, urate normal, slightly overweight; estimated ~45. Musculoskeletal: grip strength left 22kg, right 26kg ‚Äî slightly below average for 51yo female (normative ~27-30kg), BMI overweight, fat% high, but very active; Vitamin D adequate; estimated ~53. Overall biological age: factoring excellent lifestyle, cardiovascular, hepatic, renal, and metabolic health against musculoskeletal weakness, hypothyroidism, slight immune imbalance, and family history; estimated ~47.</t>
  </si>
  <si>
    <t>overall biological age: exceptional physical activity, BMI 27.6, low CRP, excellent lipids, hypothyroidism, low lymphocyte%, low-normal Hb, family history, low IGF-1#cardiovascular age: BP 108/76, cholesterol 4.32, LDL 2.35, TG 0.52, CRP 0.25, mother had heart disease, BMI 27.6#hepatic age: ALT 13.45, AST 18.6, GGT 12, ALP 71.2, bilirubin normal, alcohol once/week#pulmonary age: FVC 3.35L, FEV1 2.64L, FEV1/FVC 0.788, PEF 354, father had COPD, never smoked#renal age: creatinine 68.6, cystatin C 0.74, urea 5.63, microalbumin &lt;6.7, urine creatinine normal#metabolic system age: HbA1c 34.5, TG 0.52, cholesterol 4.32, BMI 27.6, fat% 35.8, urate 237.5, Vitamin D 68.3#musculoskeletal age: grip strength L22/R26 kg below average, BMI 27.6, fat% 35.8, high physical activity, Vitamin D 68.3</t>
  </si>
  <si>
    <t>This 55-year-old female has several key health considerations. Overall: She is a former smoker (15 pack-years), drinks alcohol almost daily, has mild overweight (BMI 25.6), insomnia, hypertension (treated for 10+ years), history of renal failure, and strong family history of cardiovascular and metabolic diseases. Her diet is rich in fruits and vegetables with low salt, and she is very physically active. These positive lifestyle factors partially offset negatives. Cardiovascular: SBP 141/DBP 89 mmHg indicates stage 1 hypertension, elevated total cholesterol (5.86), LDL 3.25, low-normal HDL (2.14 is actually good), daily alcohol use, family history of heart disease and hypertension, prior smoking ‚Äî these push cardiovascular age above chronological. However, HDL is high and triglycerides are low (1.05), pulse rate is low (58 bpm) suggesting good cardiac fitness, and she is very active. Net: moderately elevated. Hepatic: Liver enzymes (ALT 16.34, AST 25.9, ALP 58.1, GGT 19.5) are all within normal range, bilirubin normal, albumin elevated at 48.69 g/L (very good), total protein normal. Daily alcohol is a mild concern but labs are clean. Hepatic age is younger than chronological. Pulmonary: FVC 2.53L and FEV1 1.97L; FEV1/FVC ratio ~0.78, which is borderline. For a 55-year-old female at 162cm, predicted FVC ~3.0L and FEV1 ~2.4L ‚Äî both are reduced, suggesting mild restrictive or obstructive pattern. History of smoking (15 pack-years) and father with lung cancer. Pulmonary age is moderately elevated. Renal: Creatinine 63.1 umol/L is normal, cystatin C 0.95 mg/L is borderline high-normal, urea 6.84 mmol/L is at upper normal. Urine microalbumin &lt;6.7 (normal). History of renal failure 1-5 years ago is significant. Renal age is moderately elevated. Metabolic: Glucose 5.3 mmol/L and HbA1c 37.1 mmol/mol are excellent. Triglycerides 1.05 (normal), cholesterol slightly elevated. BMI 25.6 mildly overweight. IGF-1 19.1 nmol/L is on the lower side for age. Vitamin D 35.4 nmol/L is borderline insufficient. CRP 3.47 mg/L is mildly elevated (low-grade inflammation). Overall metabolic profile is reasonably good. Musculoskeletal: Hand grip strength left 24kg, right 23kg ‚Äî for a 55-year-old female, normal is around 27-30kg, so slightly below average. Vitamin D borderline low, calcium normal, phosphate normal. BMI and fat distribution are acceptable. Musculoskeletal age slightly above chronological. Overall biological age: Balancing strong physical activity, good diet, excellent glucose/lipid profile partially against hypertension, daily alcohol, prior smoking, renal failure history, mild pulmonary impairment, insomnia, low-grade inflammation, and strong family history ‚Äî overall biological age is estimated slightly above chronological age.</t>
  </si>
  <si>
    <t>overall biological age: hypertension (10+ years), daily alcohol, prior smoking (15 pack-years), renal failure history, high physical activity, good diet, excellent glucose/HbA1c, mildly elevated CRP, insomnia, family history#cardiovascular age: SBP 141/DBP 89, total cholesterol 5.86, LDL 3.25, high HDL 2.14, low triglycerides, low pulse 58, daily alcohol, prior smoking, family history of heart disease/hypertension, very active#hepatic age: ALT/AST/ALP/GGT all normal, albumin 48.69 (high-normal/excellent), daily alcohol, no liver disease#pulmonary age: FVC 2.53L (reduced), FEV1 1.97L (reduced), FEV1/FVC ~0.78 borderline, 15 pack-years smoking, family history of lung cancer#renal age: cystatin C 0.95 borderline, urea 6.84 upper-normal, creatinine normal, microalbumin normal, history of renal failure 1-5 years ago#metabolic system age: glucose 5.3, HbA1c 37.1 (excellent), triglycerides 1.05, cholesterol slightly elevated, BMI 25.6, Vitamin D 35.4 (borderline), CRP 3.47 mildly elevated, IGF-1 low-normal#musculoskeletal age: grip strength L24/R23kg (below average for age), Vitamin D borderline low, calcium normal, active lifestyle</t>
  </si>
  <si>
    <t>This 65-year-old retired female has a complex health profile. Overall: She is a former smoker (22 pack-years), moderately overweight (BMI 29.9), with central obesity (waist 95cm, WHR 0.86, body fat 38.3%), poor sleep (6hrs, insomnia, snoring), low water intake, high bread/processed meat consumption, elevated CRP (3.35 mg/L indicating low-grade inflammation), low Vitamin D (26.7 nmol/L), and multiple chronic conditions. Positive factors include moderate physical activity, fruit intake, controlled blood pressure (123/81), normal glucose/HbA1c, and normal kidney/liver enzymes. Overall biological age estimated ~70-72 due to cumulative burden of obesity, prior smoking, sleep disorders, low vitamin D, elevated CRP, multiple GI/metabolic diseases, and family history of heart disease. Cardiovascular: Father and mother both had heart disease (strong family history), hypertension history (5-10yrs), elevated lipoprotein A (70.66 nmol/L, high risk), low HDL (1.06 mmol/L, borderline low for female), elevated triglycerides (1.98 mmol/L), lipoprotein metabolism disorder, central obesity, prior smoking, CRP elevated. BP currently controlled. Cardiovascular age ~75. Hepatic: Liver enzymes largely normal (ALT 19.44, AST 20.8, ALP 108 slightly elevated, GGT 31.4 borderline), albumin and total protein normal, bilirubin normal, but has lipoprotein metabolism disorder, central obesity, and alcohol use. Hepatic age ~67. Pulmonary: Former smoker with 22 pack-years; FVC 2.58L, FEV1 1.85L, FEV1/FVC=0.717 suggesting mild obstructive pattern; PEF 304 L/min is somewhat reduced for a 65F; history of rhinitis; snoring. Pulmonary age ~72. Renal: Creatinine 74.3 umol/L normal, cystatin C 0.95 mg/L normal-borderline, urea 6.14 normal, urine microalbumin 12.8 mg/L mildly elevated (early microalbuminuria), hypertension history, obesity. Renal age ~68. Metabolic: BMI 29.9, waist 95cm, triglycerides 1.98 elevated, HDL 1.06 low, glucose 4.75 normal, HbA1c 34.8 normal, lipoprotein metabolism disorder diagnosed, low Vitamin D, elevated urate 241.1 (borderline), CRP elevated. Metabolic age ~72. Musculoskeletal: Left grip strength 17kg is very low for a 65F (possibly dominant-hand discrepancy or left-hand weakness), right grip 30kg is acceptable. Low Vitamin D (26.7 nmol/L, deficient), calcium borderline normal, IGF-1 18.82 (low-normal for age), BMI overweight adding joint stress, physical activity moderate-to-vigorous but sleep poor. Musculoskeletal age ~70.</t>
  </si>
  <si>
    <t>overall biological age: BMI 29.9, central obesity, 22 pack-year ex-smoking, CRP 3.35, low Vitamin D, insomnia/snoring, multiple chronic diseases, family history of heart disease, lipoprotein metabolism disorder, poor diet quality#cardiovascular age: family history (both parents heart disease), lipoprotein A 70.66, low HDL, elevated triglycerides, hypertension history, prior smoking, central obesity, CRP elevated, lipoprotein metabolism disorder#hepatic age: ALP slightly elevated, GGT borderline, central obesity, alcohol use, lipoprotein metabolism disorder, normal ALT/AST/albumin#pulmonary age: 22 pack-year ex-smoking, FEV1/FVC 0.717 (mild obstruction), PEF 304, rhinitis history, snoring#renal age: microalbuminuria (urine albumin 12.8 mg/L), cystatin C 0.95 borderline, hypertension history, obesity#metabolic age: triglycerides 1.98, low HDL 1.06, lipoprotein metabolism disorder, BMI 29.9, waist 95cm, low Vitamin D, elevated urate, CRP elevated#musculoskeletal age: left grip strength 17kg (very low), low Vitamin D 26.7, IGF-1 low-normal, obesity, calcium borderline</t>
  </si>
  <si>
    <t>This 59-year-old female never smokes, drinks moderately, has a healthy BMI (20.7), low waist circumference, and excellent blood pressure (105/68). Her diet is rich in fruits, vegetables, and whole grains but lacks fish and protein variety. She walks extensively (190 min/day, 7 days/week), sleeps well, and has low CRP (0.15), suggesting low systemic inflammation. These factors point to a biologically younger overall age. However, she has a history of corpus uteri cancer (10+ years), a strong paternal family history (Alzheimer's, diabetes, hypertension, stroke, heart disease), mildly low haemoglobin (12.5 g/dL), elevated MCV (98.6 fL) suggesting possible macrocytosis (potentially B12/folate deficiency given high bread/cereal intake but no fish), and mildly low reticulocyte count indicating mild anemia. Lipoprotein(a) is slightly elevated (61.62 nmol/L), which is a cardiovascular risk factor, though HDL is excellent (1.83) and triglycerides are very low (0.73). Cardiovascular: BP excellent, lipid profile mostly favorable but Lp(a) mildly elevated, low triglycerides, good HDL; estimated younger than chronological age, offset slightly by family history and Lp(a). Hepatic: liver enzymes (ALT 16.55, AST 24.7, ALP 65, GGT 15.7) all normal-low, bilirubin normal, albumin 43, no fatty liver indicators; hepatic age younger. Pulmonary: FVC 3.47L, FEV1 2.96L, FEV1/FVC ~0.85, PEF 392 L/min ‚Äî for a 59-year-old female at 164 cm, these are good values, indicating healthy lung function; pulmonary age younger. Renal: creatinine 48.9 (low-normal, typical for female), cystatin C 0.7 (excellent, eGFR well preserved), urea 4.17 (normal), urine microalbumin &lt;6.7 (excellent); renal age notably younger. Metabolic: glucose 4.96, HbA1c 34.1 mmol/mol (~5.3%), triglycerides 0.73, cholesterol 5.21 (borderline), HDL 1.83 (excellent), LDL 3.02 (moderate), BMI 20.7; overall metabolic profile is very healthy; slightly offset by borderline total cholesterol and Lp(a); metabolic age younger. Musculoskeletal: grip strength right 30 kg, left 22 kg ‚Äî asymmetry notable, right dominant likely, but left seems lower; for 59F, normative grip is ~25-30 kg, so borderline. Vitamin D 53.9 nmol/L (mildly suboptimal, &lt;75 is insufficient), calcium normal, fat-free mass 38.6 kg adequate. Mild macrocytic anemia may reflect nutritional gap (no fish, possible B12 issue). Musculoskeletal age slightly above average due to low Vit D, mild anemia, asymmetric grip. Overall: strong lifestyle, excellent organ function, cancer history adds some aging burden, family history risk, mild anemia/macrocytosis slightly age-advancing. Overall biological age estimated ~52-53.</t>
  </si>
  <si>
    <t>overall biological age: never smoking, extensive walking, low BMI, low CRP, excellent BP, uteri cancer history, paternal family history, mild macrocytic anemia (MCV 98.6, Hb 12.5), Lp(a) mildly elevated, good metabolic profile#cardiovascular age: excellent BP (105/68), high HDL (1.83), low triglycerides (0.73), Lp(a) elevated (61.62 nmol/L), strong paternal CVD/stroke/hypertension history, low CRP#hepatic age: ALT 16.55, AST 24.7, ALP 65, GGT 15.7 all low-normal, albumin 43, bilirubin normal, no obesity, no alcohol excess#pulmonary age: FVC 3.47L, FEV1 2.96L, FEV1/FVC 0.85, PEF 392, never smoked, high physical activity#renal age: creatinine 48.9, cystatin C 0.7, urea 4.17, urine microalbumin &lt;6.7, no hypertension, no diabetes#metabolic system age: glucose 4.96, HbA1c 34.1 mmol/mol, triglycerides 0.73, HDL 1.83, BMI 20.7, Lp(a) 61.62, borderline total cholesterol 5.21#musculoskeletal age: grip strength asymmetry (L 22kg, R 30kg), Vitamin D 53.9 (mildly low), mild macrocytic anemia, fat-free mass 38.6 kg</t>
  </si>
  <si>
    <t>Length</t>
  </si>
  <si>
    <t>Row Labels</t>
  </si>
  <si>
    <t>(blank)</t>
  </si>
  <si>
    <t>Grand Total</t>
  </si>
  <si>
    <t>Sum of Length</t>
  </si>
  <si>
    <t>Column Labels</t>
  </si>
  <si>
    <t>Average of Length</t>
  </si>
  <si>
    <t>std</t>
  </si>
  <si>
    <t>CV</t>
  </si>
  <si>
    <t>mean</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</si>
</sst>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end/>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1" fontId="0" fillId="0" borderId="0" xfId="0" applyNumberFormat="1"/>
    <xf numFmtId="0" fontId="16" fillId="33" borderId="10" xfId="0" applyFont="1" applyFill="1" applyBorder="1" applyAlignment="1">
      <alignment horizontal="left"/>
    </xf>
    <xf numFmtId="1" fontId="16" fillId="33" borderId="10"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7" formatCode="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sharedStrings" Target="sharedStrings.xml"/><Relationship Id="rId3" Type="http://purl.oclc.org/ooxml/officeDocument/relationships/worksheet" Target="worksheets/sheet3.xml"/><Relationship Id="rId7" Type="http://purl.oclc.org/ooxml/officeDocument/relationships/styles" Target="style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theme" Target="theme/theme1.xml"/><Relationship Id="rId5" Type="http://purl.oclc.org/ooxml/officeDocument/relationships/pivotCacheDefinition" Target="pivotCache/pivotCacheDefinition2.xml"/><Relationship Id="rId4" Type="http://purl.oclc.org/ooxml/officeDocument/relationships/pivotCacheDefinition" Target="pivotCache/pivotCacheDefinition1.xml"/><Relationship Id="rId9" Type="http://purl.oclc.org/ooxml/officeDocument/relationships/calcChain" Target="calcChain.xml"/></Relationships>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_rels/pivotCacheDefinition2.xml.rels><?xml version="1.0" encoding="UTF-8" standalone="yes"?>
<Relationships xmlns="http://schemas.openxmlformats.org/package/2006/relationships"><Relationship Id="rId1" Type="http://purl.oclc.org/ooxml/officeDocument/relationships/pivotCacheRecords" Target="pivotCacheRecords2.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Delgado San Martin, Juan" refreshedDateIso="2026-04-17T11:58:55.58000014163553825" createdVersion="8" refreshedVersion="8" minRefreshableVersion="3" recordCount="36" xr:uid="{AD74CFFB-339F-364F-8BFB-5C8326E01C0F}">
  <cacheSource type="worksheet">
    <worksheetSource ref="B1:C1048576" sheet="reasoning_and_indicators"/>
  </cacheSource>
  <cacheFields count="2">
    <cacheField name="model" numFmtId="0">
      <sharedItems containsBlank="1" count="6">
        <s v="GPT 20b"/>
        <s v="Gemini Flash"/>
        <s v="Qwen 3"/>
        <s v="Gemini Pro"/>
        <s v="Claude Sonnet"/>
        <m/>
      </sharedItems>
    </cacheField>
    <cacheField name="Length" numFmtId="0">
      <sharedItems containsString="0" containsBlank="1" containsNumber="1" containsInteger="1" minValue="427" maxValue="340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Delgado San Martin, Juan" refreshedDateIso="2026-04-17T11:59:32.47999990358948700" createdVersion="8" refreshedVersion="8" minRefreshableVersion="3" recordCount="36" xr:uid="{1B1EDD05-F294-FC42-A7FF-8E07BD3451D6}">
  <cacheSource type="worksheet">
    <worksheetSource ref="A1:C1048576" sheet="reasoning_and_indicators"/>
  </cacheSource>
  <cacheFields count="3">
    <cacheField name="patient" numFmtId="0">
      <sharedItems containsString="0" containsBlank="1" containsNumber="1" containsInteger="1" minValue="1" maxValue="7" count="8">
        <n v="1"/>
        <n v="2"/>
        <n v="3"/>
        <n v="4"/>
        <n v="5"/>
        <n v="6"/>
        <n v="7"/>
        <m/>
      </sharedItems>
    </cacheField>
    <cacheField name="model" numFmtId="0">
      <sharedItems containsBlank="1" count="6">
        <s v="GPT 20b"/>
        <s v="Gemini Flash"/>
        <s v="Qwen 3"/>
        <s v="Gemini Pro"/>
        <s v="Claude Sonnet"/>
        <m/>
      </sharedItems>
    </cacheField>
    <cacheField name="Length" numFmtId="0">
      <sharedItems containsString="0" containsBlank="1" containsNumber="1" containsInteger="1" minValue="427" maxValue="340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36">
  <r>
    <x v="0"/>
    <n v="1124"/>
  </r>
  <r>
    <x v="0"/>
    <n v="914"/>
  </r>
  <r>
    <x v="0"/>
    <n v="427"/>
  </r>
  <r>
    <x v="0"/>
    <n v="613"/>
  </r>
  <r>
    <x v="0"/>
    <n v="806"/>
  </r>
  <r>
    <x v="0"/>
    <n v="498"/>
  </r>
  <r>
    <x v="0"/>
    <n v="596"/>
  </r>
  <r>
    <x v="1"/>
    <n v="802"/>
  </r>
  <r>
    <x v="1"/>
    <n v="758"/>
  </r>
  <r>
    <x v="1"/>
    <n v="733"/>
  </r>
  <r>
    <x v="1"/>
    <n v="818"/>
  </r>
  <r>
    <x v="1"/>
    <n v="777"/>
  </r>
  <r>
    <x v="1"/>
    <n v="878"/>
  </r>
  <r>
    <x v="1"/>
    <n v="561"/>
  </r>
  <r>
    <x v="2"/>
    <n v="726"/>
  </r>
  <r>
    <x v="2"/>
    <n v="671"/>
  </r>
  <r>
    <x v="2"/>
    <n v="668"/>
  </r>
  <r>
    <x v="2"/>
    <n v="648"/>
  </r>
  <r>
    <x v="2"/>
    <n v="717"/>
  </r>
  <r>
    <x v="2"/>
    <n v="689"/>
  </r>
  <r>
    <x v="2"/>
    <n v="858"/>
  </r>
  <r>
    <x v="3"/>
    <n v="991"/>
  </r>
  <r>
    <x v="3"/>
    <n v="985"/>
  </r>
  <r>
    <x v="3"/>
    <n v="1136"/>
  </r>
  <r>
    <x v="3"/>
    <n v="742"/>
  </r>
  <r>
    <x v="3"/>
    <n v="1283"/>
  </r>
  <r>
    <x v="3"/>
    <n v="877"/>
  </r>
  <r>
    <x v="3"/>
    <n v="782"/>
  </r>
  <r>
    <x v="4"/>
    <n v="2717"/>
  </r>
  <r>
    <x v="4"/>
    <n v="2715"/>
  </r>
  <r>
    <x v="4"/>
    <n v="3407"/>
  </r>
  <r>
    <x v="4"/>
    <n v="2265"/>
  </r>
  <r>
    <x v="4"/>
    <n v="2771"/>
  </r>
  <r>
    <x v="4"/>
    <n v="2460"/>
  </r>
  <r>
    <x v="4"/>
    <n v="2654"/>
  </r>
  <r>
    <x v="5"/>
    <m/>
  </r>
</pivotCacheRecords>
</file>

<file path=xl/pivotCache/pivotCacheRecords2.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36">
  <r>
    <x v="0"/>
    <x v="0"/>
    <n v="1124"/>
  </r>
  <r>
    <x v="1"/>
    <x v="0"/>
    <n v="914"/>
  </r>
  <r>
    <x v="2"/>
    <x v="0"/>
    <n v="427"/>
  </r>
  <r>
    <x v="3"/>
    <x v="0"/>
    <n v="613"/>
  </r>
  <r>
    <x v="4"/>
    <x v="0"/>
    <n v="806"/>
  </r>
  <r>
    <x v="5"/>
    <x v="0"/>
    <n v="498"/>
  </r>
  <r>
    <x v="6"/>
    <x v="0"/>
    <n v="596"/>
  </r>
  <r>
    <x v="0"/>
    <x v="1"/>
    <n v="802"/>
  </r>
  <r>
    <x v="1"/>
    <x v="1"/>
    <n v="758"/>
  </r>
  <r>
    <x v="2"/>
    <x v="1"/>
    <n v="733"/>
  </r>
  <r>
    <x v="3"/>
    <x v="1"/>
    <n v="818"/>
  </r>
  <r>
    <x v="4"/>
    <x v="1"/>
    <n v="777"/>
  </r>
  <r>
    <x v="5"/>
    <x v="1"/>
    <n v="878"/>
  </r>
  <r>
    <x v="6"/>
    <x v="1"/>
    <n v="561"/>
  </r>
  <r>
    <x v="0"/>
    <x v="2"/>
    <n v="726"/>
  </r>
  <r>
    <x v="1"/>
    <x v="2"/>
    <n v="671"/>
  </r>
  <r>
    <x v="2"/>
    <x v="2"/>
    <n v="668"/>
  </r>
  <r>
    <x v="3"/>
    <x v="2"/>
    <n v="648"/>
  </r>
  <r>
    <x v="4"/>
    <x v="2"/>
    <n v="717"/>
  </r>
  <r>
    <x v="5"/>
    <x v="2"/>
    <n v="689"/>
  </r>
  <r>
    <x v="6"/>
    <x v="2"/>
    <n v="858"/>
  </r>
  <r>
    <x v="0"/>
    <x v="3"/>
    <n v="991"/>
  </r>
  <r>
    <x v="1"/>
    <x v="3"/>
    <n v="985"/>
  </r>
  <r>
    <x v="2"/>
    <x v="3"/>
    <n v="1136"/>
  </r>
  <r>
    <x v="3"/>
    <x v="3"/>
    <n v="742"/>
  </r>
  <r>
    <x v="4"/>
    <x v="3"/>
    <n v="1283"/>
  </r>
  <r>
    <x v="5"/>
    <x v="3"/>
    <n v="877"/>
  </r>
  <r>
    <x v="6"/>
    <x v="3"/>
    <n v="782"/>
  </r>
  <r>
    <x v="0"/>
    <x v="4"/>
    <n v="2717"/>
  </r>
  <r>
    <x v="1"/>
    <x v="4"/>
    <n v="2715"/>
  </r>
  <r>
    <x v="2"/>
    <x v="4"/>
    <n v="3407"/>
  </r>
  <r>
    <x v="3"/>
    <x v="4"/>
    <n v="2265"/>
  </r>
  <r>
    <x v="4"/>
    <x v="4"/>
    <n v="2771"/>
  </r>
  <r>
    <x v="5"/>
    <x v="4"/>
    <n v="2460"/>
  </r>
  <r>
    <x v="6"/>
    <x v="4"/>
    <n v="2654"/>
  </r>
  <r>
    <x v="7"/>
    <x v="5"/>
    <m/>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2.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E172E416-94EB-404B-9BEF-11798E440319}"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2">
    <pivotField axis="axisRow" showAll="0">
      <items count="7">
        <item x="4"/>
        <item x="1"/>
        <item x="3"/>
        <item x="0"/>
        <item x="2"/>
        <item x="5"/>
        <item t="default"/>
      </items>
    </pivotField>
    <pivotField dataField="1" showAll="0"/>
  </pivotFields>
  <rowFields count="1">
    <field x="0"/>
  </rowFields>
  <rowItems count="7">
    <i>
      <x/>
    </i>
    <i>
      <x v="1"/>
    </i>
    <i>
      <x v="2"/>
    </i>
    <i>
      <x v="3"/>
    </i>
    <i>
      <x v="4"/>
    </i>
    <i>
      <x v="5"/>
    </i>
    <i t="grand">
      <x/>
    </i>
  </rowItems>
  <colItems count="1">
    <i/>
  </colItems>
  <dataFields count="1">
    <dataField name="Sum of Length"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EF809700-2CFD-5F4E-9DE9-BE4CADB5043D}"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J11" firstHeaderRow="1" firstDataRow="2" firstDataCol="1"/>
  <pivotFields count="3">
    <pivotField axis="axisCol" showAll="0">
      <items count="9">
        <item x="0"/>
        <item x="1"/>
        <item x="2"/>
        <item x="3"/>
        <item x="4"/>
        <item x="5"/>
        <item x="6"/>
        <item x="7"/>
        <item t="default"/>
      </items>
    </pivotField>
    <pivotField axis="axisRow" showAll="0">
      <items count="7">
        <item x="4"/>
        <item x="1"/>
        <item x="3"/>
        <item x="0"/>
        <item x="2"/>
        <item x="5"/>
        <item t="default"/>
      </items>
    </pivotField>
    <pivotField dataField="1" showAll="0"/>
  </pivotFields>
  <rowFields count="1">
    <field x="1"/>
  </rowFields>
  <rowItems count="7">
    <i>
      <x/>
    </i>
    <i>
      <x v="1"/>
    </i>
    <i>
      <x v="2"/>
    </i>
    <i>
      <x v="3"/>
    </i>
    <i>
      <x v="4"/>
    </i>
    <i>
      <x v="5"/>
    </i>
    <i t="grand">
      <x/>
    </i>
  </rowItems>
  <colFields count="1">
    <field x="0"/>
  </colFields>
  <colItems count="9">
    <i>
      <x/>
    </i>
    <i>
      <x v="1"/>
    </i>
    <i>
      <x v="2"/>
    </i>
    <i>
      <x v="3"/>
    </i>
    <i>
      <x v="4"/>
    </i>
    <i>
      <x v="5"/>
    </i>
    <i>
      <x v="6"/>
    </i>
    <i>
      <x v="7"/>
    </i>
    <i t="grand">
      <x/>
    </i>
  </colItems>
  <dataFields count="1">
    <dataField name="Average of Length" fld="2" subtotal="average" baseField="0" baseItem="0"/>
  </dataFields>
  <formats count="1">
    <format dxfId="1">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purl.oclc.org/ooxml/officeDocument/relationships/pivotTable" Target="../pivotTables/pivotTable1.xml"/></Relationships>
</file>

<file path=xl/worksheets/_rels/sheet2.xml.rels><?xml version="1.0" encoding="UTF-8" standalone="yes"?>
<Relationships xmlns="http://schemas.openxmlformats.org/package/2006/relationships"><Relationship Id="rId1" Type="http://purl.oclc.org/ooxml/officeDocument/relationships/pivotTable" Target="../pivotTables/pivotTable2.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4BD60-0AEC-AD4D-B7F2-42D99C636BBE}">
  <dimension ref="A3:B10"/>
  <sheetViews>
    <sheetView workbookViewId="0">
      <selection activeCell="A3" sqref="A3"/>
    </sheetView>
  </sheetViews>
  <sheetFormatPr baseColWidth="10" defaultRowHeight="16" x14ac:dyDescent="0.2"/>
  <cols>
    <col min="1" max="1" width="13" bestFit="1" customWidth="1"/>
    <col min="2" max="2" width="12.83203125" bestFit="1" customWidth="1"/>
  </cols>
  <sheetData>
    <row r="3" spans="1:2" x14ac:dyDescent="0.2">
      <c r="A3" s="1" t="s">
        <v>80</v>
      </c>
      <c r="B3" t="s">
        <v>83</v>
      </c>
    </row>
    <row r="4" spans="1:2" x14ac:dyDescent="0.2">
      <c r="A4" s="2" t="s">
        <v>64</v>
      </c>
      <c r="B4" s="3">
        <v>18989</v>
      </c>
    </row>
    <row r="5" spans="1:2" x14ac:dyDescent="0.2">
      <c r="A5" s="2" t="s">
        <v>19</v>
      </c>
      <c r="B5" s="3">
        <v>5327</v>
      </c>
    </row>
    <row r="6" spans="1:2" x14ac:dyDescent="0.2">
      <c r="A6" s="2" t="s">
        <v>49</v>
      </c>
      <c r="B6" s="3">
        <v>6796</v>
      </c>
    </row>
    <row r="7" spans="1:2" x14ac:dyDescent="0.2">
      <c r="A7" s="2" t="s">
        <v>4</v>
      </c>
      <c r="B7" s="3">
        <v>4978</v>
      </c>
    </row>
    <row r="8" spans="1:2" x14ac:dyDescent="0.2">
      <c r="A8" s="2" t="s">
        <v>34</v>
      </c>
      <c r="B8" s="3">
        <v>4977</v>
      </c>
    </row>
    <row r="9" spans="1:2" x14ac:dyDescent="0.2">
      <c r="A9" s="2" t="s">
        <v>81</v>
      </c>
      <c r="B9" s="3"/>
    </row>
    <row r="10" spans="1:2" x14ac:dyDescent="0.2">
      <c r="A10" s="2" t="s">
        <v>82</v>
      </c>
      <c r="B10" s="3">
        <v>41067</v>
      </c>
    </row>
  </sheetData>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7E16E-9CDB-1B49-A071-1DFD27A80311}">
  <dimension ref="A3:M21"/>
  <sheetViews>
    <sheetView tabSelected="1" workbookViewId="0">
      <selection activeCell="N12" sqref="N12"/>
    </sheetView>
  </sheetViews>
  <sheetFormatPr baseColWidth="10" defaultRowHeight="16" x14ac:dyDescent="0.2"/>
  <cols>
    <col min="1" max="1" width="15.83203125" bestFit="1" customWidth="1"/>
    <col min="2" max="2" width="16" bestFit="1" customWidth="1"/>
    <col min="3" max="8" width="7.1640625" bestFit="1" customWidth="1"/>
    <col min="9" max="9" width="7" bestFit="1" customWidth="1"/>
    <col min="10" max="10" width="12.1640625" bestFit="1" customWidth="1"/>
  </cols>
  <sheetData>
    <row r="3" spans="1:13" x14ac:dyDescent="0.2">
      <c r="A3" s="1" t="s">
        <v>85</v>
      </c>
      <c r="B3" s="1" t="s">
        <v>84</v>
      </c>
    </row>
    <row r="4" spans="1:13" x14ac:dyDescent="0.2">
      <c r="A4" s="1" t="s">
        <v>80</v>
      </c>
      <c r="B4">
        <v>1</v>
      </c>
      <c r="C4">
        <v>2</v>
      </c>
      <c r="D4">
        <v>3</v>
      </c>
      <c r="E4">
        <v>4</v>
      </c>
      <c r="F4">
        <v>5</v>
      </c>
      <c r="G4">
        <v>6</v>
      </c>
      <c r="H4">
        <v>7</v>
      </c>
      <c r="I4" t="s">
        <v>81</v>
      </c>
      <c r="J4" t="s">
        <v>82</v>
      </c>
      <c r="K4" t="s">
        <v>88</v>
      </c>
      <c r="L4" t="s">
        <v>86</v>
      </c>
      <c r="M4" t="s">
        <v>87</v>
      </c>
    </row>
    <row r="5" spans="1:13" x14ac:dyDescent="0.2">
      <c r="A5" s="2" t="s">
        <v>64</v>
      </c>
      <c r="B5" s="3">
        <v>2717</v>
      </c>
      <c r="C5" s="3">
        <v>2715</v>
      </c>
      <c r="D5" s="3">
        <v>3407</v>
      </c>
      <c r="E5" s="3">
        <v>2265</v>
      </c>
      <c r="F5" s="3">
        <v>2771</v>
      </c>
      <c r="G5" s="3">
        <v>2460</v>
      </c>
      <c r="H5" s="3">
        <v>2654</v>
      </c>
      <c r="I5" s="3"/>
      <c r="J5" s="5">
        <v>2712.7142857142858</v>
      </c>
      <c r="K5">
        <f>AVERAGE(B5:H5)</f>
        <v>2712.7142857142858</v>
      </c>
      <c r="L5" s="5">
        <f>STDEV(B5:H5)</f>
        <v>354.30999340770916</v>
      </c>
      <c r="M5" s="4">
        <f>L5/K5</f>
        <v>0.13061087755300249</v>
      </c>
    </row>
    <row r="6" spans="1:13" x14ac:dyDescent="0.2">
      <c r="A6" s="2" t="s">
        <v>19</v>
      </c>
      <c r="B6" s="3">
        <v>802</v>
      </c>
      <c r="C6" s="3">
        <v>758</v>
      </c>
      <c r="D6" s="3">
        <v>733</v>
      </c>
      <c r="E6" s="3">
        <v>818</v>
      </c>
      <c r="F6" s="3">
        <v>777</v>
      </c>
      <c r="G6" s="3">
        <v>878</v>
      </c>
      <c r="H6" s="3">
        <v>561</v>
      </c>
      <c r="I6" s="3"/>
      <c r="J6" s="5">
        <v>761</v>
      </c>
      <c r="K6">
        <f t="shared" ref="K6:K9" si="0">AVERAGE(B6:H6)</f>
        <v>761</v>
      </c>
      <c r="L6" s="5">
        <f>STDEV(B6:H6)</f>
        <v>99.722949548570142</v>
      </c>
      <c r="M6" s="4">
        <f t="shared" ref="M6:M9" si="1">L6/K6</f>
        <v>0.13104198363806852</v>
      </c>
    </row>
    <row r="7" spans="1:13" x14ac:dyDescent="0.2">
      <c r="A7" s="2" t="s">
        <v>49</v>
      </c>
      <c r="B7" s="3">
        <v>991</v>
      </c>
      <c r="C7" s="3">
        <v>985</v>
      </c>
      <c r="D7" s="3">
        <v>1136</v>
      </c>
      <c r="E7" s="3">
        <v>742</v>
      </c>
      <c r="F7" s="3">
        <v>1283</v>
      </c>
      <c r="G7" s="3">
        <v>877</v>
      </c>
      <c r="H7" s="3">
        <v>782</v>
      </c>
      <c r="I7" s="3"/>
      <c r="J7" s="5">
        <v>970.85714285714289</v>
      </c>
      <c r="K7">
        <f t="shared" si="0"/>
        <v>970.85714285714289</v>
      </c>
      <c r="L7" s="5">
        <f>STDEV(B7:H7)</f>
        <v>192.42438217944959</v>
      </c>
      <c r="M7" s="4">
        <f t="shared" si="1"/>
        <v>0.19820051136788511</v>
      </c>
    </row>
    <row r="8" spans="1:13" x14ac:dyDescent="0.2">
      <c r="A8" s="2" t="s">
        <v>4</v>
      </c>
      <c r="B8" s="3">
        <v>1124</v>
      </c>
      <c r="C8" s="3">
        <v>914</v>
      </c>
      <c r="D8" s="3">
        <v>427</v>
      </c>
      <c r="E8" s="3">
        <v>613</v>
      </c>
      <c r="F8" s="3">
        <v>806</v>
      </c>
      <c r="G8" s="3">
        <v>498</v>
      </c>
      <c r="H8" s="3">
        <v>596</v>
      </c>
      <c r="I8" s="3"/>
      <c r="J8" s="5">
        <v>711.14285714285711</v>
      </c>
      <c r="K8">
        <f t="shared" si="0"/>
        <v>711.14285714285711</v>
      </c>
      <c r="L8" s="5">
        <f>STDEV(B8:H8)</f>
        <v>248.21256251542994</v>
      </c>
      <c r="M8" s="4">
        <f t="shared" si="1"/>
        <v>0.34903333419204691</v>
      </c>
    </row>
    <row r="9" spans="1:13" x14ac:dyDescent="0.2">
      <c r="A9" s="2" t="s">
        <v>34</v>
      </c>
      <c r="B9" s="3">
        <v>726</v>
      </c>
      <c r="C9" s="3">
        <v>671</v>
      </c>
      <c r="D9" s="3">
        <v>668</v>
      </c>
      <c r="E9" s="3">
        <v>648</v>
      </c>
      <c r="F9" s="3">
        <v>717</v>
      </c>
      <c r="G9" s="3">
        <v>689</v>
      </c>
      <c r="H9" s="3">
        <v>858</v>
      </c>
      <c r="I9" s="3"/>
      <c r="J9" s="5">
        <v>711</v>
      </c>
      <c r="K9">
        <f t="shared" si="0"/>
        <v>711</v>
      </c>
      <c r="L9" s="5">
        <f>STDEV(B9:H9)</f>
        <v>70.441465061425291</v>
      </c>
      <c r="M9" s="4">
        <f t="shared" si="1"/>
        <v>9.9073790522398439E-2</v>
      </c>
    </row>
    <row r="10" spans="1:13" x14ac:dyDescent="0.2">
      <c r="A10" s="2" t="s">
        <v>81</v>
      </c>
      <c r="B10" s="3"/>
      <c r="C10" s="3"/>
      <c r="D10" s="3"/>
      <c r="E10" s="3"/>
      <c r="F10" s="3"/>
      <c r="G10" s="3"/>
      <c r="H10" s="3"/>
      <c r="I10" s="3"/>
      <c r="J10" s="5"/>
    </row>
    <row r="11" spans="1:13" x14ac:dyDescent="0.2">
      <c r="A11" s="2" t="s">
        <v>82</v>
      </c>
      <c r="B11" s="3">
        <v>1272</v>
      </c>
      <c r="C11" s="3">
        <v>1208.5999999999999</v>
      </c>
      <c r="D11" s="3">
        <v>1274.2</v>
      </c>
      <c r="E11" s="3">
        <v>1017.2</v>
      </c>
      <c r="F11" s="3">
        <v>1270.8</v>
      </c>
      <c r="G11" s="3">
        <v>1080.4000000000001</v>
      </c>
      <c r="H11" s="3">
        <v>1090.2</v>
      </c>
      <c r="I11" s="3"/>
      <c r="J11" s="5">
        <v>1173.3428571428572</v>
      </c>
    </row>
    <row r="15" spans="1:13" x14ac:dyDescent="0.2">
      <c r="A15" s="2" t="s">
        <v>64</v>
      </c>
      <c r="B15" s="5">
        <v>2712.7142857142858</v>
      </c>
    </row>
    <row r="16" spans="1:13" x14ac:dyDescent="0.2">
      <c r="A16" s="2" t="s">
        <v>19</v>
      </c>
      <c r="B16" s="5">
        <v>761</v>
      </c>
    </row>
    <row r="17" spans="1:2" x14ac:dyDescent="0.2">
      <c r="A17" s="2" t="s">
        <v>49</v>
      </c>
      <c r="B17" s="5">
        <v>970.85714285714289</v>
      </c>
    </row>
    <row r="18" spans="1:2" x14ac:dyDescent="0.2">
      <c r="A18" s="2" t="s">
        <v>4</v>
      </c>
      <c r="B18" s="5">
        <v>711.14285714285711</v>
      </c>
    </row>
    <row r="19" spans="1:2" x14ac:dyDescent="0.2">
      <c r="A19" s="2" t="s">
        <v>34</v>
      </c>
      <c r="B19" s="5">
        <v>711</v>
      </c>
    </row>
    <row r="20" spans="1:2" x14ac:dyDescent="0.2">
      <c r="A20" s="2" t="s">
        <v>81</v>
      </c>
      <c r="B20" s="5"/>
    </row>
    <row r="21" spans="1:2" x14ac:dyDescent="0.2">
      <c r="A21" s="6" t="s">
        <v>82</v>
      </c>
      <c r="B21" s="7">
        <v>1173.3428571428572</v>
      </c>
    </row>
  </sheetData>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4544F-D14C-A843-8CB3-79D2411A62C9}">
  <dimension ref="A1:E36"/>
  <sheetViews>
    <sheetView workbookViewId="0">
      <selection sqref="A1:C1048576"/>
    </sheetView>
  </sheetViews>
  <sheetFormatPr baseColWidth="10" defaultRowHeight="16" x14ac:dyDescent="0.2"/>
  <sheetData>
    <row r="1" spans="1:5" x14ac:dyDescent="0.2">
      <c r="A1" t="s">
        <v>0</v>
      </c>
      <c r="B1" t="s">
        <v>1</v>
      </c>
      <c r="C1" t="s">
        <v>79</v>
      </c>
      <c r="D1" t="s">
        <v>2</v>
      </c>
      <c r="E1" t="s">
        <v>3</v>
      </c>
    </row>
    <row r="2" spans="1:5" x14ac:dyDescent="0.2">
      <c r="A2">
        <v>1</v>
      </c>
      <c r="B2" t="s">
        <v>4</v>
      </c>
      <c r="C2">
        <f>LEN(D2)</f>
        <v>1124</v>
      </c>
      <c r="D2" t="s">
        <v>5</v>
      </c>
      <c r="E2" t="s">
        <v>6</v>
      </c>
    </row>
    <row r="3" spans="1:5" x14ac:dyDescent="0.2">
      <c r="A3">
        <v>2</v>
      </c>
      <c r="B3" t="s">
        <v>4</v>
      </c>
      <c r="C3">
        <f>LEN(D3)</f>
        <v>914</v>
      </c>
      <c r="D3" t="s">
        <v>7</v>
      </c>
      <c r="E3" t="s">
        <v>8</v>
      </c>
    </row>
    <row r="4" spans="1:5" x14ac:dyDescent="0.2">
      <c r="A4">
        <v>3</v>
      </c>
      <c r="B4" t="s">
        <v>4</v>
      </c>
      <c r="C4">
        <f>LEN(D4)</f>
        <v>427</v>
      </c>
      <c r="D4" t="s">
        <v>9</v>
      </c>
      <c r="E4" t="s">
        <v>10</v>
      </c>
    </row>
    <row r="5" spans="1:5" x14ac:dyDescent="0.2">
      <c r="A5">
        <v>4</v>
      </c>
      <c r="B5" t="s">
        <v>4</v>
      </c>
      <c r="C5">
        <f>LEN(D5)</f>
        <v>613</v>
      </c>
      <c r="D5" t="s">
        <v>11</v>
      </c>
      <c r="E5" t="s">
        <v>12</v>
      </c>
    </row>
    <row r="6" spans="1:5" x14ac:dyDescent="0.2">
      <c r="A6">
        <v>5</v>
      </c>
      <c r="B6" t="s">
        <v>4</v>
      </c>
      <c r="C6">
        <f>LEN(D6)</f>
        <v>806</v>
      </c>
      <c r="D6" t="s">
        <v>13</v>
      </c>
      <c r="E6" t="s">
        <v>14</v>
      </c>
    </row>
    <row r="7" spans="1:5" x14ac:dyDescent="0.2">
      <c r="A7">
        <v>6</v>
      </c>
      <c r="B7" t="s">
        <v>4</v>
      </c>
      <c r="C7">
        <f>LEN(D7)</f>
        <v>498</v>
      </c>
      <c r="D7" t="s">
        <v>15</v>
      </c>
      <c r="E7" t="s">
        <v>16</v>
      </c>
    </row>
    <row r="8" spans="1:5" x14ac:dyDescent="0.2">
      <c r="A8">
        <v>7</v>
      </c>
      <c r="B8" t="s">
        <v>4</v>
      </c>
      <c r="C8">
        <f>LEN(D8)</f>
        <v>596</v>
      </c>
      <c r="D8" t="s">
        <v>17</v>
      </c>
      <c r="E8" t="s">
        <v>18</v>
      </c>
    </row>
    <row r="9" spans="1:5" x14ac:dyDescent="0.2">
      <c r="A9">
        <v>1</v>
      </c>
      <c r="B9" t="s">
        <v>19</v>
      </c>
      <c r="C9">
        <f>LEN(D9)</f>
        <v>802</v>
      </c>
      <c r="D9" t="s">
        <v>20</v>
      </c>
      <c r="E9" t="s">
        <v>21</v>
      </c>
    </row>
    <row r="10" spans="1:5" x14ac:dyDescent="0.2">
      <c r="A10">
        <v>2</v>
      </c>
      <c r="B10" t="s">
        <v>19</v>
      </c>
      <c r="C10">
        <f>LEN(D10)</f>
        <v>758</v>
      </c>
      <c r="D10" t="s">
        <v>22</v>
      </c>
      <c r="E10" t="s">
        <v>23</v>
      </c>
    </row>
    <row r="11" spans="1:5" x14ac:dyDescent="0.2">
      <c r="A11">
        <v>3</v>
      </c>
      <c r="B11" t="s">
        <v>19</v>
      </c>
      <c r="C11">
        <f>LEN(D11)</f>
        <v>733</v>
      </c>
      <c r="D11" t="s">
        <v>24</v>
      </c>
      <c r="E11" t="s">
        <v>25</v>
      </c>
    </row>
    <row r="12" spans="1:5" x14ac:dyDescent="0.2">
      <c r="A12">
        <v>4</v>
      </c>
      <c r="B12" t="s">
        <v>19</v>
      </c>
      <c r="C12">
        <f>LEN(D12)</f>
        <v>818</v>
      </c>
      <c r="D12" t="s">
        <v>26</v>
      </c>
      <c r="E12" t="s">
        <v>27</v>
      </c>
    </row>
    <row r="13" spans="1:5" x14ac:dyDescent="0.2">
      <c r="A13">
        <v>5</v>
      </c>
      <c r="B13" t="s">
        <v>19</v>
      </c>
      <c r="C13">
        <f>LEN(D13)</f>
        <v>777</v>
      </c>
      <c r="D13" t="s">
        <v>28</v>
      </c>
      <c r="E13" t="s">
        <v>29</v>
      </c>
    </row>
    <row r="14" spans="1:5" x14ac:dyDescent="0.2">
      <c r="A14">
        <v>6</v>
      </c>
      <c r="B14" t="s">
        <v>19</v>
      </c>
      <c r="C14">
        <f>LEN(D14)</f>
        <v>878</v>
      </c>
      <c r="D14" t="s">
        <v>30</v>
      </c>
      <c r="E14" t="s">
        <v>31</v>
      </c>
    </row>
    <row r="15" spans="1:5" x14ac:dyDescent="0.2">
      <c r="A15">
        <v>7</v>
      </c>
      <c r="B15" t="s">
        <v>19</v>
      </c>
      <c r="C15">
        <f>LEN(D15)</f>
        <v>561</v>
      </c>
      <c r="D15" t="s">
        <v>32</v>
      </c>
      <c r="E15" t="s">
        <v>33</v>
      </c>
    </row>
    <row r="16" spans="1:5" x14ac:dyDescent="0.2">
      <c r="A16">
        <v>1</v>
      </c>
      <c r="B16" t="s">
        <v>34</v>
      </c>
      <c r="C16">
        <f>LEN(D16)</f>
        <v>726</v>
      </c>
      <c r="D16" t="s">
        <v>35</v>
      </c>
      <c r="E16" t="s">
        <v>36</v>
      </c>
    </row>
    <row r="17" spans="1:5" x14ac:dyDescent="0.2">
      <c r="A17">
        <v>2</v>
      </c>
      <c r="B17" t="s">
        <v>34</v>
      </c>
      <c r="C17">
        <f>LEN(D17)</f>
        <v>671</v>
      </c>
      <c r="D17" t="s">
        <v>37</v>
      </c>
      <c r="E17" t="s">
        <v>38</v>
      </c>
    </row>
    <row r="18" spans="1:5" x14ac:dyDescent="0.2">
      <c r="A18">
        <v>3</v>
      </c>
      <c r="B18" t="s">
        <v>34</v>
      </c>
      <c r="C18">
        <f>LEN(D18)</f>
        <v>668</v>
      </c>
      <c r="D18" t="s">
        <v>39</v>
      </c>
      <c r="E18" t="s">
        <v>40</v>
      </c>
    </row>
    <row r="19" spans="1:5" x14ac:dyDescent="0.2">
      <c r="A19">
        <v>4</v>
      </c>
      <c r="B19" t="s">
        <v>34</v>
      </c>
      <c r="C19">
        <f>LEN(D19)</f>
        <v>648</v>
      </c>
      <c r="D19" t="s">
        <v>41</v>
      </c>
      <c r="E19" t="s">
        <v>42</v>
      </c>
    </row>
    <row r="20" spans="1:5" x14ac:dyDescent="0.2">
      <c r="A20">
        <v>5</v>
      </c>
      <c r="B20" t="s">
        <v>34</v>
      </c>
      <c r="C20">
        <f>LEN(D20)</f>
        <v>717</v>
      </c>
      <c r="D20" t="s">
        <v>43</v>
      </c>
      <c r="E20" t="s">
        <v>44</v>
      </c>
    </row>
    <row r="21" spans="1:5" x14ac:dyDescent="0.2">
      <c r="A21">
        <v>6</v>
      </c>
      <c r="B21" t="s">
        <v>34</v>
      </c>
      <c r="C21">
        <f>LEN(D21)</f>
        <v>689</v>
      </c>
      <c r="D21" t="s">
        <v>45</v>
      </c>
      <c r="E21" t="s">
        <v>46</v>
      </c>
    </row>
    <row r="22" spans="1:5" x14ac:dyDescent="0.2">
      <c r="A22">
        <v>7</v>
      </c>
      <c r="B22" t="s">
        <v>34</v>
      </c>
      <c r="C22">
        <f>LEN(D22)</f>
        <v>858</v>
      </c>
      <c r="D22" t="s">
        <v>47</v>
      </c>
      <c r="E22" t="s">
        <v>48</v>
      </c>
    </row>
    <row r="23" spans="1:5" x14ac:dyDescent="0.2">
      <c r="A23">
        <v>1</v>
      </c>
      <c r="B23" t="s">
        <v>49</v>
      </c>
      <c r="C23">
        <f>LEN(D23)</f>
        <v>991</v>
      </c>
      <c r="D23" t="s">
        <v>50</v>
      </c>
      <c r="E23" t="s">
        <v>51</v>
      </c>
    </row>
    <row r="24" spans="1:5" x14ac:dyDescent="0.2">
      <c r="A24">
        <v>2</v>
      </c>
      <c r="B24" t="s">
        <v>49</v>
      </c>
      <c r="C24">
        <f>LEN(D24)</f>
        <v>985</v>
      </c>
      <c r="D24" t="s">
        <v>52</v>
      </c>
      <c r="E24" t="s">
        <v>53</v>
      </c>
    </row>
    <row r="25" spans="1:5" x14ac:dyDescent="0.2">
      <c r="A25">
        <v>3</v>
      </c>
      <c r="B25" t="s">
        <v>49</v>
      </c>
      <c r="C25">
        <f>LEN(D25)</f>
        <v>1136</v>
      </c>
      <c r="D25" t="s">
        <v>54</v>
      </c>
      <c r="E25" t="s">
        <v>55</v>
      </c>
    </row>
    <row r="26" spans="1:5" x14ac:dyDescent="0.2">
      <c r="A26">
        <v>4</v>
      </c>
      <c r="B26" t="s">
        <v>49</v>
      </c>
      <c r="C26">
        <f>LEN(D26)</f>
        <v>742</v>
      </c>
      <c r="D26" t="s">
        <v>56</v>
      </c>
      <c r="E26" t="s">
        <v>57</v>
      </c>
    </row>
    <row r="27" spans="1:5" x14ac:dyDescent="0.2">
      <c r="A27">
        <v>5</v>
      </c>
      <c r="B27" t="s">
        <v>49</v>
      </c>
      <c r="C27">
        <f>LEN(D27)</f>
        <v>1283</v>
      </c>
      <c r="D27" t="s">
        <v>58</v>
      </c>
      <c r="E27" t="s">
        <v>59</v>
      </c>
    </row>
    <row r="28" spans="1:5" x14ac:dyDescent="0.2">
      <c r="A28">
        <v>6</v>
      </c>
      <c r="B28" t="s">
        <v>49</v>
      </c>
      <c r="C28">
        <f>LEN(D28)</f>
        <v>877</v>
      </c>
      <c r="D28" t="s">
        <v>60</v>
      </c>
      <c r="E28" t="s">
        <v>61</v>
      </c>
    </row>
    <row r="29" spans="1:5" x14ac:dyDescent="0.2">
      <c r="A29">
        <v>7</v>
      </c>
      <c r="B29" t="s">
        <v>49</v>
      </c>
      <c r="C29">
        <f>LEN(D29)</f>
        <v>782</v>
      </c>
      <c r="D29" t="s">
        <v>62</v>
      </c>
      <c r="E29" t="s">
        <v>63</v>
      </c>
    </row>
    <row r="30" spans="1:5" x14ac:dyDescent="0.2">
      <c r="A30">
        <v>1</v>
      </c>
      <c r="B30" t="s">
        <v>64</v>
      </c>
      <c r="C30">
        <f>LEN(D30)</f>
        <v>2717</v>
      </c>
      <c r="D30" t="s">
        <v>65</v>
      </c>
      <c r="E30" t="s">
        <v>66</v>
      </c>
    </row>
    <row r="31" spans="1:5" x14ac:dyDescent="0.2">
      <c r="A31">
        <v>2</v>
      </c>
      <c r="B31" t="s">
        <v>64</v>
      </c>
      <c r="C31">
        <f>LEN(D31)</f>
        <v>2715</v>
      </c>
      <c r="D31" t="s">
        <v>67</v>
      </c>
      <c r="E31" t="s">
        <v>68</v>
      </c>
    </row>
    <row r="32" spans="1:5" x14ac:dyDescent="0.2">
      <c r="A32">
        <v>3</v>
      </c>
      <c r="B32" t="s">
        <v>64</v>
      </c>
      <c r="C32">
        <f>LEN(D32)</f>
        <v>3407</v>
      </c>
      <c r="D32" t="s">
        <v>69</v>
      </c>
      <c r="E32" t="s">
        <v>70</v>
      </c>
    </row>
    <row r="33" spans="1:5" x14ac:dyDescent="0.2">
      <c r="A33">
        <v>4</v>
      </c>
      <c r="B33" t="s">
        <v>64</v>
      </c>
      <c r="C33">
        <f>LEN(D33)</f>
        <v>2265</v>
      </c>
      <c r="D33" t="s">
        <v>71</v>
      </c>
      <c r="E33" t="s">
        <v>72</v>
      </c>
    </row>
    <row r="34" spans="1:5" x14ac:dyDescent="0.2">
      <c r="A34">
        <v>5</v>
      </c>
      <c r="B34" t="s">
        <v>64</v>
      </c>
      <c r="C34">
        <f>LEN(D34)</f>
        <v>2771</v>
      </c>
      <c r="D34" t="s">
        <v>73</v>
      </c>
      <c r="E34" t="s">
        <v>74</v>
      </c>
    </row>
    <row r="35" spans="1:5" x14ac:dyDescent="0.2">
      <c r="A35">
        <v>6</v>
      </c>
      <c r="B35" t="s">
        <v>64</v>
      </c>
      <c r="C35">
        <f>LEN(D35)</f>
        <v>2460</v>
      </c>
      <c r="D35" t="s">
        <v>75</v>
      </c>
      <c r="E35" t="s">
        <v>76</v>
      </c>
    </row>
    <row r="36" spans="1:5" x14ac:dyDescent="0.2">
      <c r="A36">
        <v>7</v>
      </c>
      <c r="B36" t="s">
        <v>64</v>
      </c>
      <c r="C36">
        <f>LEN(D36)</f>
        <v>2654</v>
      </c>
      <c r="D36" t="s">
        <v>77</v>
      </c>
      <c r="E36" t="s">
        <v>78</v>
      </c>
    </row>
  </sheetData>
  <pageMargins left="0.75" right="0.75" top="1" bottom="1" header="0.5" footer="0.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Wordiness</vt:lpstr>
      <vt:lpstr>Sheet3</vt:lpstr>
      <vt:lpstr>reasoning_and_indicators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 Delgado</cp:lastModifiedBy>
  <dcterms:created xsi:type="dcterms:W3CDTF">2026-04-17T11:11:28Z</dcterms:created>
  <dcterms:modified xsi:type="dcterms:W3CDTF">2026-04-17T11:11:28Z</dcterms:modified>
</cp:coreProperties>
</file>