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lgad1/Desktop/Juan/code/imperial/AgeLLM-YoungAdultWomen/benchmark/published_benchmark/outputs/"/>
    </mc:Choice>
  </mc:AlternateContent>
  <xr:revisionPtr revIDLastSave="0" documentId="8_{0F622035-E032-D94C-9FA0-264DB451E470}" xr6:coauthVersionLast="47" xr6:coauthVersionMax="47" xr10:uidLastSave="{00000000-0000-0000-0000-000000000000}"/>
  <bookViews>
    <workbookView xWindow="0" yWindow="660" windowWidth="30240" windowHeight="18980" xr2:uid="{87D12CA4-DD18-E949-84FE-DE251AE30E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M25" i="1"/>
  <c r="M26" i="1"/>
  <c r="M27" i="1"/>
  <c r="M23" i="1"/>
  <c r="F3" i="1"/>
  <c r="F4" i="1"/>
  <c r="F5" i="1"/>
  <c r="F6" i="1"/>
  <c r="F2" i="1"/>
  <c r="B18" i="1"/>
  <c r="B17" i="1"/>
</calcChain>
</file>

<file path=xl/sharedStrings.xml><?xml version="1.0" encoding="utf-8"?>
<sst xmlns="http://schemas.openxmlformats.org/spreadsheetml/2006/main" count="32" uniqueCount="26">
  <si>
    <t>Model</t>
  </si>
  <si>
    <t>Input (per 1M)</t>
  </si>
  <si>
    <t>Output (per 1M)</t>
  </si>
  <si>
    <t>Notes</t>
  </si>
  <si>
    <t>Gemini 3.1 Flash-Lite</t>
  </si>
  <si>
    <t>Gemini 3.1 Pro</t>
  </si>
  <si>
    <t>Claude 3.5 Sonnet (4.6)</t>
  </si>
  <si>
    <t>Llama 3.3 70B</t>
  </si>
  <si>
    <t>GPT OSS 20B</t>
  </si>
  <si>
    <t>Qwen3</t>
  </si>
  <si>
    <t>Input estimate</t>
  </si>
  <si>
    <t>Output estimate</t>
  </si>
  <si>
    <r>
      <rPr>
        <sz val="12"/>
        <color rgb="FFA5D6FF"/>
        <rFont val="Menlo"/>
        <family val="2"/>
      </rPr>
      <t>[Basic information]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Age: 65 years old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Gender: female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Occupation: retired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Education: uneducated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Income: income unknown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[Lifestyle]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Smoking: current never smoke, previous smoke all days, pack years of smoking is 22 years.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Alcohol: drink alcohol once a week.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Diet: intake 18 slices of bread weekly, none cereal, none cooked vegetable, 3 tablespoons of salad daily, 3 pieces of fresh fruit daily, oily fish occasionally, non-oily fish occasionally, processed meat weekly, poultry regularly, beef weekly, mutton regularly, pork weekly, more salt, 4 cups of tea daily, 1 glasses of water daily, hot drinks.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Physical activity: walk 5 days weekly and 20 minutes each day, do moderate physical activity 1 days weekly but unknown how many minutes each day, do vigorous physical activity 5 days weekly and 20 minutes each day.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Sleep: sleep 6 hours a day, usually insomnia, snoring.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[Physical examination]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Anthropometry: height 158 cm, weight 74.7 kg, BMI 29.9, waist circumference 95 cm, hip circumference 110 cm, waist-hip ratio 0.86, whole body fat mass 28.6 kg, whole body fat-free mass 46.1 kg, whole body fat percentage 38.3, trunk fat mass 13.6 kg, trunk fat-free mass 26.2 kg, trunk fat percentage 34.3, impedance of whole body 573 ohms.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Blood pressure: systolic blood pressure 123 mmHg, diastolic blood pressure 81 mmHg, pulse rate 75 bpm.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Hand grip strength: left hand grip strength 17 kg, right hand grip strength 30 kg.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Spirometry: forced vital capacity 2.58 litres, forced expiratory volume in 1-second 1.85 litres, peak expiratory flow 304 litres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min.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[Blood biochemistry]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Blood biochemistry: alanine aminotransferase 19.44 U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aspartate aminotransferase 20.8 U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alkaline phosphatase 108 U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gamma glutamyltransferase 31.4 U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total bilirubin 7.14 umol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direct bilirubin 1.01 umol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creatinine 74.3 umol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cystatin C 0.95 mg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urea 6.14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cholesterol 4.33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HDL cholesterol 1.06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LDL direct cholesterol 2.74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triglycerides 1.98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apolipoprotein A 1.41 g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apolipoprotein B 0.84 g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lipoprotein A 70.66 nmol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glucose 4.75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glycated haemoglobin (HbA1c) 34.8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mol, albumin 43.7 g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total protein 74.79 g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C-reactive protein 3.35 mg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testosterone 1.48 nmol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IGF-1 18.82 nmol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SHBG 36.54 nmol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calcium 2.32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phosphate 1.29 mmol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Vitamin D 26.7 nmol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urate 241.1 umol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L.Urine assays: creatinine (enzymatic) 11791 micromole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micro albumin 12.8 mg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potassium 88.2 millimole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L, sodium 96.7 millimole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[Blood count]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haematocrit percentage 40.33%, haemoglobin concentration 13.69 grams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decilitre, mean corpuscular haemoglobin 30.3 picograms, mean corpuscular haemoglobin concentration 33.94 grams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decilitre, mean corpuscular volume 89.28 picograms, mean sphered cell volume 80.87 femtolitres, red blood cell (erythrocyte) count 4.52*10^12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red blood cell (erythrocyte) distribution width 13.87%, nucleated red blood cell count 0*10^9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nucleated red blood cell percentage 0%, basophill count 0.02*10^9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basophill percentage 0.4%, eosinophill count 0.2*10^9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eosinophill percentage 3.65%, lymphocyte count 1.94*10^9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lymphocyte percentage 36.29%, monocyte count 0.25*10^9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monocyte percentage 4.6%, neutrophill count 2.95*10^9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neutrophill percentage 55.1%, white blood cell (leukocyte) count 5.35*10^9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mean platelet (thrombocyte) volume 8.98 femtolitres, platelet count 210.1*10^9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platelet crit 0.19%, platelet distribution width 16.47%, high light scatter reticulocyte count 0.018*10^12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high light scatter reticulocyte percentage 0.391%, immature reticulocyte fraction 0.26, mean reticulocyte volume 106.66 femtolitres, reticulocyte count 0.07*10^12 cells</t>
    </r>
    <r>
      <rPr>
        <sz val="12"/>
        <color rgb="FFD7BA7D"/>
        <rFont val="Menlo"/>
        <family val="2"/>
      </rPr>
      <t>\/</t>
    </r>
    <r>
      <rPr>
        <sz val="12"/>
        <color rgb="FFA5D6FF"/>
        <rFont val="Menlo"/>
        <family val="2"/>
      </rPr>
      <t>litre, reticulocyte percentage 1.49%.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[Family history]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father had heart disease.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mother had heart disease.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[Medical history]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diseases suffered for 10 years or more: vasomotor and allergic rhinitis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diseases suffered 5 to 10 years ago: hypertension#sleep disorders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diseases suffered 1 to 5 years ago: lipoprotein metabolism disorders#skin disorders related to radiation#other diseases of anus and rectum#other gastro-enteritis and colitis#diverticular disease of intestine#other diseases of digestive system</t>
    </r>
    <r>
      <rPr>
        <sz val="12"/>
        <color rgb="FFD7BA7D"/>
        <rFont val="Menlo"/>
        <family val="2"/>
      </rPr>
      <t>\n</t>
    </r>
    <r>
      <rPr>
        <sz val="12"/>
        <color rgb="FFA5D6FF"/>
        <rFont val="Menlo"/>
        <family val="2"/>
      </rPr>
      <t>diseases suffered within 1 year: no diseases</t>
    </r>
  </si>
  <si>
    <t>Not billed by 1M tokens ** estimated</t>
  </si>
  <si>
    <t>Claude Sonnet</t>
  </si>
  <si>
    <t>Gemini Flash</t>
  </si>
  <si>
    <t>Gemini Pro</t>
  </si>
  <si>
    <t>GPT 20b</t>
  </si>
  <si>
    <t>Qwen 3</t>
  </si>
  <si>
    <t>Can cache system instructions at 90% discount</t>
  </si>
  <si>
    <t>Not computed</t>
  </si>
  <si>
    <t>Total estimate per 1000 patients</t>
  </si>
  <si>
    <t>Age acceleration</t>
  </si>
  <si>
    <t>Correlations</t>
  </si>
  <si>
    <t>Reasoning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</si>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</sst>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11"/>
      <color rgb="FF1F1F1F"/>
      <name val="Aptos Display"/>
      <scheme val="major"/>
    </font>
    <font>
      <sz val="11"/>
      <color rgb="FF1F1F1F"/>
      <name val="Aptos Display"/>
      <scheme val="major"/>
    </font>
    <font>
      <sz val="12"/>
      <color theme="1"/>
      <name val="Aptos Display"/>
      <scheme val="major"/>
    </font>
    <font>
      <sz val="12"/>
      <color rgb="FFBBBEBF"/>
      <name val="Menlo"/>
      <family val="2"/>
    </font>
    <font>
      <sz val="12"/>
      <color rgb="FFA5D6FF"/>
      <name val="Menlo"/>
      <family val="2"/>
    </font>
    <font>
      <sz val="12"/>
      <color rgb="FFD7BA7D"/>
      <name val="Menlo"/>
      <family val="2"/>
    </font>
    <font>
      <sz val="12"/>
      <color rgb="FF000000"/>
      <name val="Aptos Narrow"/>
    </font>
    <font>
      <b/>
      <sz val="18"/>
      <color rgb="FFFFFFFF"/>
      <name val="Aptos"/>
    </font>
    <font>
      <sz val="16"/>
      <color rgb="FF000000"/>
      <name val="Aptos Narrow"/>
    </font>
    <font>
      <sz val="18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2" fillId="0" borderId="2" xfId="0" applyFont="1" applyFill="1" applyBorder="1" applyAlignment="1">
      <alignment horizontal="left" vertical="center" wrapText="1" indent="1" readingOrder="1"/>
    </xf>
    <xf numFmtId="0" fontId="5" fillId="0" borderId="0" xfId="0" applyFont="1"/>
    <xf numFmtId="0" fontId="8" fillId="0" borderId="0" xfId="0" applyFont="1" applyAlignment="1">
      <alignment horizontal="left" wrapText="1" readingOrder="1"/>
    </xf>
    <xf numFmtId="0" fontId="8" fillId="0" borderId="0" xfId="0" applyFont="1" applyAlignment="1">
      <alignment horizontal="right" wrapText="1" readingOrder="1"/>
    </xf>
    <xf numFmtId="0" fontId="2" fillId="0" borderId="1" xfId="0" applyFont="1" applyFill="1" applyBorder="1" applyAlignment="1">
      <alignment horizontal="left" vertical="center" wrapText="1" indent="1" readingOrder="1"/>
    </xf>
    <xf numFmtId="0" fontId="0" fillId="0" borderId="0" xfId="0" applyFill="1"/>
    <xf numFmtId="0" fontId="3" fillId="0" borderId="1" xfId="0" applyFont="1" applyFill="1" applyBorder="1" applyAlignment="1">
      <alignment horizontal="left" vertical="center" wrapText="1" indent="1" readingOrder="1"/>
    </xf>
    <xf numFmtId="0" fontId="8" fillId="0" borderId="0" xfId="0" applyFont="1" applyFill="1" applyAlignment="1">
      <alignment horizontal="right" wrapText="1" readingOrder="1"/>
    </xf>
    <xf numFmtId="2" fontId="0" fillId="0" borderId="0" xfId="0" applyNumberFormat="1" applyFill="1"/>
    <xf numFmtId="0" fontId="4" fillId="0" borderId="0" xfId="0" applyFont="1" applyFill="1"/>
    <xf numFmtId="0" fontId="1" fillId="2" borderId="3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center" wrapText="1" readingOrder="1"/>
    </xf>
    <xf numFmtId="0" fontId="10" fillId="3" borderId="4" xfId="0" applyFont="1" applyFill="1" applyBorder="1" applyAlignment="1">
      <alignment horizontal="center" wrapText="1" readingOrder="1"/>
    </xf>
    <xf numFmtId="0" fontId="11" fillId="3" borderId="4" xfId="0" applyFont="1" applyFill="1" applyBorder="1" applyAlignment="1">
      <alignment horizontal="center" vertical="center" wrapText="1" readingOrder="1"/>
    </xf>
    <xf numFmtId="0" fontId="10" fillId="4" borderId="5" xfId="0" applyFont="1" applyFill="1" applyBorder="1" applyAlignment="1">
      <alignment horizontal="center" wrapText="1" readingOrder="1"/>
    </xf>
    <xf numFmtId="0" fontId="11" fillId="4" borderId="5" xfId="0" applyFont="1" applyFill="1" applyBorder="1" applyAlignment="1">
      <alignment horizontal="center" vertical="center" wrapText="1" readingOrder="1"/>
    </xf>
    <xf numFmtId="0" fontId="10" fillId="3" borderId="5" xfId="0" applyFont="1" applyFill="1" applyBorder="1" applyAlignment="1">
      <alignment horizont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159F-AD01-E94B-8ECE-40A90A1CB527}">
  <dimension ref="A1:M27"/>
  <sheetViews>
    <sheetView tabSelected="1" workbookViewId="0">
      <selection activeCell="J14" sqref="J14"/>
    </sheetView>
  </sheetViews>
  <sheetFormatPr baseColWidth="10" defaultRowHeight="16" x14ac:dyDescent="0.2"/>
  <cols>
    <col min="1" max="1" width="22.1640625" style="1" customWidth="1"/>
    <col min="2" max="2" width="15.83203125" style="1" customWidth="1"/>
    <col min="3" max="3" width="16.5" style="1" customWidth="1"/>
  </cols>
  <sheetData>
    <row r="1" spans="1:8" ht="64" x14ac:dyDescent="0.2">
      <c r="A1" s="6" t="s">
        <v>0</v>
      </c>
      <c r="B1" s="6" t="s">
        <v>1</v>
      </c>
      <c r="C1" s="6" t="s">
        <v>2</v>
      </c>
      <c r="D1" s="2" t="s">
        <v>10</v>
      </c>
      <c r="E1" s="2" t="s">
        <v>11</v>
      </c>
      <c r="F1" s="2" t="s">
        <v>21</v>
      </c>
      <c r="G1" s="2" t="s">
        <v>3</v>
      </c>
      <c r="H1" s="7"/>
    </row>
    <row r="2" spans="1:8" x14ac:dyDescent="0.2">
      <c r="A2" s="6" t="s">
        <v>4</v>
      </c>
      <c r="B2" s="8">
        <v>0.25</v>
      </c>
      <c r="C2" s="8">
        <v>1.5</v>
      </c>
      <c r="D2" s="7">
        <v>1100</v>
      </c>
      <c r="E2" s="9">
        <v>761</v>
      </c>
      <c r="F2" s="10">
        <f>(D2*B2+E2*C2)/1000</f>
        <v>1.4165000000000001</v>
      </c>
      <c r="G2" s="7" t="s">
        <v>19</v>
      </c>
      <c r="H2" s="7"/>
    </row>
    <row r="3" spans="1:8" x14ac:dyDescent="0.2">
      <c r="A3" s="6" t="s">
        <v>5</v>
      </c>
      <c r="B3" s="8">
        <v>2</v>
      </c>
      <c r="C3" s="8">
        <v>12</v>
      </c>
      <c r="D3" s="7">
        <v>1100</v>
      </c>
      <c r="E3" s="9">
        <v>971</v>
      </c>
      <c r="F3" s="10">
        <f t="shared" ref="F3:F7" si="0">(D3*B3+E3*C3)/1000</f>
        <v>13.852</v>
      </c>
      <c r="G3" s="7" t="s">
        <v>19</v>
      </c>
      <c r="H3" s="7"/>
    </row>
    <row r="4" spans="1:8" x14ac:dyDescent="0.2">
      <c r="A4" s="6" t="s">
        <v>6</v>
      </c>
      <c r="B4" s="8">
        <v>3</v>
      </c>
      <c r="C4" s="8">
        <v>15</v>
      </c>
      <c r="D4" s="7">
        <v>1100</v>
      </c>
      <c r="E4" s="9">
        <v>2713</v>
      </c>
      <c r="F4" s="10">
        <f t="shared" si="0"/>
        <v>43.994999999999997</v>
      </c>
      <c r="G4" s="7"/>
      <c r="H4" s="7"/>
    </row>
    <row r="5" spans="1:8" x14ac:dyDescent="0.2">
      <c r="A5" s="6" t="s">
        <v>8</v>
      </c>
      <c r="B5" s="6">
        <v>7.0000000000000007E-2</v>
      </c>
      <c r="C5" s="6">
        <v>0.25</v>
      </c>
      <c r="D5" s="7">
        <v>1100</v>
      </c>
      <c r="E5" s="9">
        <v>711</v>
      </c>
      <c r="F5" s="10">
        <f t="shared" si="0"/>
        <v>0.25474999999999998</v>
      </c>
      <c r="G5" s="7" t="s">
        <v>13</v>
      </c>
      <c r="H5" s="7"/>
    </row>
    <row r="6" spans="1:8" x14ac:dyDescent="0.2">
      <c r="A6" s="11" t="s">
        <v>9</v>
      </c>
      <c r="B6" s="6">
        <v>0.15</v>
      </c>
      <c r="C6" s="6">
        <v>0.45</v>
      </c>
      <c r="D6" s="7">
        <v>1100</v>
      </c>
      <c r="E6" s="9">
        <v>711</v>
      </c>
      <c r="F6" s="10">
        <f t="shared" si="0"/>
        <v>0.48494999999999999</v>
      </c>
      <c r="G6" s="7"/>
      <c r="H6" s="7"/>
    </row>
    <row r="7" spans="1:8" x14ac:dyDescent="0.2">
      <c r="A7" s="6" t="s">
        <v>7</v>
      </c>
      <c r="B7" s="8">
        <v>0.1</v>
      </c>
      <c r="C7" s="8">
        <v>0.32</v>
      </c>
      <c r="D7" s="7"/>
      <c r="E7" s="7"/>
      <c r="F7" s="7"/>
      <c r="G7" s="7" t="s">
        <v>20</v>
      </c>
      <c r="H7" s="7"/>
    </row>
    <row r="16" spans="1:8" x14ac:dyDescent="0.2">
      <c r="B16" s="3" t="s">
        <v>12</v>
      </c>
    </row>
    <row r="17" spans="2:13" x14ac:dyDescent="0.2">
      <c r="B17" s="1">
        <f>LEN(B16)</f>
        <v>4379</v>
      </c>
    </row>
    <row r="18" spans="2:13" x14ac:dyDescent="0.2">
      <c r="B18">
        <f>IF(LEN(TRIM(B16))=0, 0, LEN(TRIM(B16)) - LEN(SUBSTITUTE(B16, " ", "")) + 1)</f>
        <v>552</v>
      </c>
    </row>
    <row r="21" spans="2:13" ht="17" thickBot="1" x14ac:dyDescent="0.25"/>
    <row r="22" spans="2:13" ht="76" thickBot="1" x14ac:dyDescent="0.25">
      <c r="H22" s="12"/>
      <c r="I22" s="13" t="s">
        <v>22</v>
      </c>
      <c r="J22" s="13" t="s">
        <v>23</v>
      </c>
      <c r="K22" s="13" t="s">
        <v>24</v>
      </c>
      <c r="L22" s="13" t="s">
        <v>25</v>
      </c>
    </row>
    <row r="23" spans="2:13" ht="26" thickTop="1" thickBot="1" x14ac:dyDescent="0.35">
      <c r="C23" s="4" t="s">
        <v>14</v>
      </c>
      <c r="D23" s="5">
        <v>2713</v>
      </c>
      <c r="H23" s="14" t="s">
        <v>17</v>
      </c>
      <c r="I23" s="15">
        <v>5</v>
      </c>
      <c r="J23" s="15">
        <v>5</v>
      </c>
      <c r="K23" s="15">
        <v>2</v>
      </c>
      <c r="L23" s="15">
        <v>1</v>
      </c>
      <c r="M23">
        <f>AVERAGE(I23:L23)</f>
        <v>3.25</v>
      </c>
    </row>
    <row r="24" spans="2:13" ht="47" thickBot="1" x14ac:dyDescent="0.35">
      <c r="C24" s="4" t="s">
        <v>15</v>
      </c>
      <c r="D24" s="5">
        <v>761</v>
      </c>
      <c r="H24" s="16" t="s">
        <v>15</v>
      </c>
      <c r="I24" s="17">
        <v>1</v>
      </c>
      <c r="J24" s="17">
        <v>2</v>
      </c>
      <c r="K24" s="17">
        <v>3</v>
      </c>
      <c r="L24" s="17">
        <v>3</v>
      </c>
      <c r="M24">
        <f t="shared" ref="M24:M27" si="1">AVERAGE(I24:L24)</f>
        <v>2.25</v>
      </c>
    </row>
    <row r="25" spans="2:13" ht="25" thickBot="1" x14ac:dyDescent="0.35">
      <c r="C25" s="4" t="s">
        <v>16</v>
      </c>
      <c r="D25" s="5">
        <v>971</v>
      </c>
      <c r="H25" s="18" t="s">
        <v>18</v>
      </c>
      <c r="I25" s="19">
        <v>4</v>
      </c>
      <c r="J25" s="19">
        <v>4</v>
      </c>
      <c r="K25" s="19">
        <v>5</v>
      </c>
      <c r="L25" s="19">
        <v>2</v>
      </c>
      <c r="M25">
        <f t="shared" si="1"/>
        <v>3.75</v>
      </c>
    </row>
    <row r="26" spans="2:13" ht="47" thickBot="1" x14ac:dyDescent="0.35">
      <c r="C26" s="4" t="s">
        <v>17</v>
      </c>
      <c r="D26" s="5">
        <v>711</v>
      </c>
      <c r="H26" s="16" t="s">
        <v>16</v>
      </c>
      <c r="I26" s="17">
        <v>2</v>
      </c>
      <c r="J26" s="17">
        <v>1</v>
      </c>
      <c r="K26" s="17">
        <v>4</v>
      </c>
      <c r="L26" s="17">
        <v>4</v>
      </c>
      <c r="M26">
        <f t="shared" si="1"/>
        <v>2.75</v>
      </c>
    </row>
    <row r="27" spans="2:13" ht="47" thickBot="1" x14ac:dyDescent="0.35">
      <c r="C27" s="4" t="s">
        <v>18</v>
      </c>
      <c r="D27" s="5">
        <v>711</v>
      </c>
      <c r="H27" s="18" t="s">
        <v>14</v>
      </c>
      <c r="I27" s="19">
        <v>3</v>
      </c>
      <c r="J27" s="19">
        <v>3</v>
      </c>
      <c r="K27" s="19">
        <v>1</v>
      </c>
      <c r="L27" s="19">
        <v>5</v>
      </c>
      <c r="M27">
        <f t="shared" si="1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Delgado</dc:creator>
  <cp:lastModifiedBy>Juan Delgado</cp:lastModifiedBy>
  <dcterms:created xsi:type="dcterms:W3CDTF">2026-04-17T10:43:29Z</dcterms:created>
  <dcterms:modified xsi:type="dcterms:W3CDTF">2026-04-17T11:10:46Z</dcterms:modified>
</cp:coreProperties>
</file>